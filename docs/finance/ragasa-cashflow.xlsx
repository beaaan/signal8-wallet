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a8ee1e87d644f9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a9d768b1060b44e8"/>
    <x:sheet xmlns:r="http://schemas.openxmlformats.org/officeDocument/2006/relationships" name="Summary" sheetId="2" r:id="R55a72906e3884a8c"/>
    <x:sheet xmlns:r="http://schemas.openxmlformats.org/officeDocument/2006/relationships" name="Inputs" sheetId="3" r:id="R174025b12e6c44d6"/>
    <x:sheet xmlns:r="http://schemas.openxmlformats.org/officeDocument/2006/relationships" name="Forecast_A" sheetId="4" r:id="Rf17fc27948414df1"/>
    <x:sheet xmlns:r="http://schemas.openxmlformats.org/officeDocument/2006/relationships" name="Forecast_B" sheetId="5" r:id="R01dbc7ad533b46c0"/>
  </x:sheets>
</x:workbook>
</file>

<file path=xl/sharedStrings.xml><?xml version="1.0" encoding="utf-8"?>
<x:sst xmlns:x="http://schemas.openxmlformats.org/spreadsheetml/2006/main">
  <x:si>
    <x:t xml:space="preserve">Metric</x:t>
  </x:si>
  <x:si>
    <x:t xml:space="preserve">Reading</x:t>
  </x:si>
  <x:si>
    <x:t xml:space="preserve">Negative = shop cannot pay staff/suppliers</x:t>
  </x:si>
  <x:si>
    <x:t xml:space="preserve">Capped at 15,000 without owner approval</x:t>
  </x:si>
  <x:si>
    <x:t xml:space="preserve">Loan still owed at week 13</x:t>
  </x:si>
  <x:si>
    <x:t xml:space="preserve">Repaid by the 10% sweep after the storm</x:t>
  </x:si>
  <x:si>
    <x:t xml:space="preserve">Week</x:t>
  </x:si>
  <x:si>
    <x:t xml:space="preserve">Assumptions (blue = input, yellow = key assumption)</x:t>
  </x:si>
  <x:si>
    <x:t xml:space="preserve">Assumption</x:t>
  </x:si>
  <x:si>
    <x:t xml:space="preserve">Unit</x:t>
  </x:si>
  <x:si>
    <x:t xml:space="preserve">Note / source</x:t>
  </x:si>
  <x:si>
    <x:t xml:space="preserve">Starting cash</x:t>
  </x:si>
  <x:si>
    <x:t xml:space="preserve">Weekly customer receipts (normal)</x:t>
  </x:si>
  <x:si>
    <x:t xml:space="preserve">Weekly fixed costs (wages, rent, utilities)</x:t>
  </x:si>
  <x:si>
    <x:t xml:space="preserve">Variable cost (food, packaging) % of receipts</x:t>
  </x:si>
  <x:si>
    <x:t xml:space="preserve">%</x:t>
  </x:si>
  <x:si>
    <x:t xml:space="preserve">Weekly receipts in disrupted weeks</x:t>
  </x:si>
  <x:si>
    <x:t xml:space="preserve">Storm starts in week</x:t>
  </x:si>
  <x:si>
    <x:t xml:space="preserve">week #</x:t>
  </x:si>
  <x:si>
    <x:t xml:space="preserve">Disrupted weeks</x:t>
  </x:si>
  <x:si>
    <x:t xml:space="preserve">weeks</x:t>
  </x:si>
  <x:si>
    <x:t xml:space="preserve">Cash buffer floor</x:t>
  </x:si>
  <x:si>
    <x:t xml:space="preserve">Typhoon cover payout</x:t>
  </x:si>
  <x:si>
    <x:t xml:space="preserve">Cover paid in week</x:t>
  </x:si>
  <x:si>
    <x:t xml:space="preserve">Credit line: max draw per storm without approval</x:t>
  </x:si>
  <x:si>
    <x:t xml:space="preserve">Credit line: total limit</x:t>
  </x:si>
  <x:si>
    <x:t xml:space="preserve">Safety margin (weeks of fixed cost) added to draw</x:t>
  </x:si>
  <x:si>
    <x:t xml:space="preserve">Interest rate</x:t>
  </x:si>
  <x:si>
    <x:t xml:space="preserve">% p.a.</x:t>
  </x:si>
  <x:si>
    <x:t xml:space="preserve">Arrangement fee on each draw</x:t>
  </x:si>
  <x:si>
    <x:t xml:space="preserve">% of draw</x:t>
  </x:si>
  <x:si>
    <x:t xml:space="preserve">Sweep of customer receipts to repay</x:t>
  </x:si>
  <x:si>
    <x:t xml:space="preserve">Storm week?</x:t>
  </x:si>
  <x:si>
    <x:t xml:space="preserve">Receipts</x:t>
  </x:si>
  <x:si>
    <x:t xml:space="preserve">Variable cost</x:t>
  </x:si>
  <x:si>
    <x:t xml:space="preserve">Fixed cost</x:t>
  </x:si>
  <x:si>
    <x:t xml:space="preserve">Net operating flow</x:t>
  </x:si>
  <x:si>
    <x:t xml:space="preserve">Cover payout</x:t>
  </x:si>
  <x:si>
    <x:t xml:space="preserve">Credit draw</x:t>
  </x:si>
  <x:si>
    <x:t xml:space="preserve">Arrangement fee</x:t>
  </x:si>
  <x:si>
    <x:t xml:space="preserve">Interest paid</x:t>
  </x:si>
  <x:si>
    <x:t xml:space="preserve">Sweep repayment</x:t>
  </x:si>
  <x:si>
    <x:t xml:space="preserve">Loan balance (end)</x:t>
  </x:si>
  <x:si>
    <x:t xml:space="preserve">Credit draw sizing</x:t>
  </x:si>
  <x:si>
    <x:t xml:space="preserve">Plus safety margin</x:t>
  </x:si>
  <x:si>
    <x:t xml:space="preserve">Draw requested</x:t>
  </x:si>
  <x:si>
    <x:t xml:space="preserve">Draw allowed (cap)</x:t>
  </x:si>
</x:sst>
</file>

<file path=xl/styles.xml><?xml version="1.0" encoding="utf-8"?>
<x:styleSheet xmlns:x="http://schemas.openxmlformats.org/spreadsheetml/2006/main">
  <x:numFmts count="4">
    <x:numFmt numFmtId="164" formatCode="#,##0;\(#,##0\);\-"/>
    <x:numFmt numFmtId="165" formatCode="0.0%"/>
    <x:numFmt numFmtId="200" formatCode="#,##0.00;(#,##0.00);&quot;-&quot;"/>
    <x:numFmt numFmtId="201" formatCode="0"/>
  </x:numFmts>
  <x:fonts count="7">
    <x:font>
      <x:sz val="11"/>
      <x:color theme="1"/>
      <x:name val="Calibri"/>
      <x:scheme val="minor"/>
    </x:font>
    <x:font>
      <x:b/>
      <x:sz val="11"/>
      <x:color theme="1"/>
      <x:name val="Arial"/>
    </x:font>
    <x:font>
      <x:sz val="11"/>
      <x:color theme="1"/>
      <x:name val="Arial"/>
    </x:font>
    <x:font>
      <x:b/>
      <x:sz val="11"/>
      <x:color rgb="FFFFFFFF"/>
      <x:name val="Arial"/>
    </x:font>
    <x:font>
      <x:sz val="11"/>
      <x:color rgb="FF0000FF"/>
      <x:name val="Arial"/>
    </x:font>
    <x:font>
      <x:sz val="11"/>
      <x:color rgb="FF008000"/>
      <x:name val="Arial"/>
    </x:font>
    <x:font>
      <x:sz val="11"/>
      <x:color rgb="FF172B4D"/>
      <x:name val="Arial"/>
    </x:font>
  </x:fonts>
  <x:fills count="5">
    <x:fill>
      <x:patternFill patternType="none"/>
    </x:fill>
    <x:fill>
      <x:patternFill patternType="lightGray"/>
    </x:fill>
    <x:fill>
      <x:patternFill patternType="solid">
        <x:fgColor rgb="FF1F3864"/>
      </x:patternFill>
    </x:fill>
    <x:fill>
      <x:patternFill patternType="solid">
        <x:fgColor rgb="FFFFFF00"/>
      </x:patternFill>
    </x:fill>
    <x:fill>
      <x:patternFill patternType="solid">
        <x:fgColor rgb="FFF2F2F2"/>
      </x:patternFill>
    </x:fill>
  </x:fills>
  <x:borders count="3">
    <x:border/>
    <x:border>
      <x:left/>
      <x:right/>
      <x:top/>
      <x:bottom/>
    </x:border>
    <x:border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</x:border>
  </x:borders>
  <x:cellStyleXfs count="1">
    <x:xf numFmtId="0" fontId="0" fillId="0" borderId="0" applyFont="1" applyAlignment="1"/>
  </x:cellStyleXfs>
  <x:cellXfs count="53">
    <x:xf numFmtId="0" fontId="0" fillId="0" borderId="0" xfId="0" applyFont="1" applyAlignment="1">
      <x:alignment vertical="bottom" wrapText="0" shrinkToFit="0"/>
    </x:xf>
    <x:xf numFmtId="0" fontId="1" fillId="0" borderId="0" xfId="0" applyFont="1" applyAlignment="1">
      <x:alignment vertical="bottom" wrapText="0" shrinkToFit="0"/>
    </x:xf>
    <x:xf numFmtId="0" fontId="2" fillId="0" borderId="0" xfId="0" applyFont="1" applyAlignment="1">
      <x:alignment vertical="bottom" wrapText="0" shrinkToFit="0"/>
    </x:xf>
    <x:xf numFmtId="0" fontId="3" fillId="2" borderId="1" xfId="0" applyFont="1" applyFill="1" applyBorder="1" applyAlignment="1">
      <x:alignment vertical="bottom" wrapText="0" shrinkToFit="0"/>
    </x:xf>
    <x:xf numFmtId="0" fontId="3" fillId="2" borderId="1" xfId="0" applyFont="1" applyFill="1" applyBorder="1" applyAlignment="1">
      <x:alignment vertical="center" wrapText="1" shrinkToFit="0"/>
    </x:xf>
    <x:xf numFmtId="164" fontId="4" fillId="3" borderId="2" xfId="0" applyNumberFormat="1" applyFont="1" applyFill="1" applyBorder="1" applyAlignment="1">
      <x:alignment vertical="bottom" wrapText="0" shrinkToFit="0"/>
    </x:xf>
    <x:xf numFmtId="164" fontId="4" fillId="0" borderId="2" xfId="0" applyNumberFormat="1" applyFont="1" applyBorder="1" applyAlignment="1">
      <x:alignment vertical="bottom" wrapText="0" shrinkToFit="0"/>
    </x:xf>
    <x:xf numFmtId="165" fontId="4" fillId="3" borderId="2" xfId="0" applyNumberFormat="1" applyFont="1" applyFill="1" applyBorder="1" applyAlignment="1">
      <x:alignment vertical="bottom" wrapText="0" shrinkToFit="0"/>
    </x:xf>
    <x:xf numFmtId="1" fontId="4" fillId="0" borderId="2" xfId="0" applyNumberFormat="1" applyFont="1" applyBorder="1" applyAlignment="1">
      <x:alignment vertical="bottom" wrapText="0" shrinkToFit="0"/>
    </x:xf>
    <x:xf numFmtId="1" fontId="4" fillId="3" borderId="2" xfId="0" applyNumberFormat="1" applyFont="1" applyFill="1" applyBorder="1" applyAlignment="1">
      <x:alignment vertical="bottom" wrapText="0" shrinkToFit="0"/>
    </x:xf>
    <x:xf numFmtId="165" fontId="4" fillId="0" borderId="2" xfId="0" applyNumberFormat="1" applyFont="1" applyBorder="1" applyAlignment="1">
      <x:alignment vertical="bottom" wrapText="0" shrinkToFit="0"/>
    </x:xf>
    <x:xf numFmtId="164" fontId="2" fillId="0" borderId="0" xfId="0" applyNumberFormat="1" applyFont="1" applyAlignment="1">
      <x:alignment vertical="bottom" wrapText="0" shrinkToFit="0"/>
    </x:xf>
    <x:xf numFmtId="0" fontId="2" fillId="0" borderId="2" xfId="0" applyFont="1" applyBorder="1" applyAlignment="1">
      <x:alignment vertical="bottom" wrapText="0" shrinkToFit="0"/>
    </x:xf>
    <x:xf numFmtId="164" fontId="2" fillId="0" borderId="2" xfId="0" applyNumberFormat="1" applyFont="1" applyBorder="1" applyAlignment="1">
      <x:alignment vertical="bottom" wrapText="0" shrinkToFit="0"/>
    </x:xf>
    <x:xf numFmtId="164" fontId="2" fillId="4" borderId="2" xfId="0" applyNumberFormat="1" applyFont="1" applyFill="1" applyBorder="1" applyAlignment="1">
      <x:alignment vertical="bottom" wrapText="0" shrinkToFit="0"/>
    </x:xf>
    <x:xf numFmtId="164" fontId="5" fillId="0" borderId="2" xfId="0" applyNumberFormat="1" applyFont="1" applyBorder="1" applyAlignment="1">
      <x:alignment vertical="bottom" wrapText="0" shrinkToFit="0"/>
    </x:xf>
    <x:xf numFmtId="1" fontId="5" fillId="0" borderId="2" xfId="0" applyNumberFormat="1" applyFont="1" applyBorder="1" applyAlignment="1">
      <x:alignment vertical="bottom" wrapText="0" shrinkToFit="0"/>
    </x:xf>
    <x:xf numFmtId="164" fontId="5" fillId="0" borderId="0" xfId="0" applyNumberFormat="1" applyFont="1" applyAlignment="1">
      <x:alignment vertical="bottom" wrapText="0" shrinkToFit="0"/>
    </x:xf>
    <x:xf numFmtId="0" fontId="1" fillId="0" borderId="0" xfId="0" applyNumberFormat="1" applyFont="1" applyFill="1" applyBorder="1" applyAlignment="1">
      <x:alignment vertical="bottom" wrapText="1"/>
    </x:xf>
    <x:xf numFmtId="0" fontId="2" fillId="0" borderId="0" xfId="0" applyNumberFormat="1" applyFont="1" applyFill="1" applyBorder="1" applyAlignment="1">
      <x:alignment vertical="bottom" wrapText="1"/>
    </x:xf>
    <x:xf numFmtId="0" fontId="0" fillId="0" borderId="0" xfId="0" applyNumberFormat="1" applyFont="1" applyFill="1" applyBorder="1" applyAlignment="1">
      <x:alignment vertical="bottom" wrapText="1"/>
    </x:xf>
    <x:xf numFmtId="0" fontId="3" fillId="2" borderId="1" xfId="0" applyNumberFormat="1" applyFont="1" applyFill="1" applyBorder="1" applyAlignment="1">
      <x:alignment vertical="bottom" wrapText="1"/>
    </x:xf>
    <x:xf numFmtId="164" fontId="4" fillId="3" borderId="2" xfId="0" applyNumberFormat="1" applyFont="1" applyFill="1" applyBorder="1" applyAlignment="1">
      <x:alignment vertical="bottom" wrapText="1"/>
    </x:xf>
    <x:xf numFmtId="164" fontId="4" fillId="0" borderId="2" xfId="0" applyNumberFormat="1" applyFont="1" applyFill="1" applyBorder="1" applyAlignment="1">
      <x:alignment vertical="bottom" wrapText="1"/>
    </x:xf>
    <x:xf numFmtId="165" fontId="4" fillId="3" borderId="2" xfId="0" applyNumberFormat="1" applyFont="1" applyFill="1" applyBorder="1" applyAlignment="1">
      <x:alignment vertical="bottom" wrapText="1"/>
    </x:xf>
    <x:xf numFmtId="1" fontId="4" fillId="0" borderId="2" xfId="0" applyNumberFormat="1" applyFont="1" applyFill="1" applyBorder="1" applyAlignment="1">
      <x:alignment vertical="bottom" wrapText="1"/>
    </x:xf>
    <x:xf numFmtId="1" fontId="4" fillId="3" borderId="2" xfId="0" applyNumberFormat="1" applyFont="1" applyFill="1" applyBorder="1" applyAlignment="1">
      <x:alignment vertical="bottom" wrapText="1"/>
    </x:xf>
    <x:xf numFmtId="165" fontId="4" fillId="0" borderId="2" xfId="0" applyNumberFormat="1" applyFont="1" applyFill="1" applyBorder="1" applyAlignment="1">
      <x:alignment vertical="bottom" wrapText="1"/>
    </x:xf>
    <x:xf numFmtId="0" fontId="2" fillId="0" borderId="0" xfId="0" applyNumberFormat="1" applyFont="1" applyFill="1" applyBorder="1" applyAlignment="1">
      <x:alignment vertical="bottom" wrapText="0"/>
    </x:xf>
    <x:xf numFmtId="0" fontId="3" fillId="2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0"/>
    </x:xf>
    <x:xf numFmtId="0" fontId="2" fillId="0" borderId="0" xfId="0" applyNumberFormat="1" applyFont="1" applyFill="1" applyBorder="1" applyAlignment="1">
      <x:alignment vertical="center" wrapText="1"/>
    </x:xf>
    <x:xf numFmtId="164" fontId="2" fillId="0" borderId="0" xfId="0" applyNumberFormat="1" applyFont="1" applyFill="1" applyBorder="1" applyAlignment="1">
      <x:alignment vertical="center" wrapText="0"/>
    </x:xf>
    <x:xf numFmtId="0" fontId="2" fillId="0" borderId="2" xfId="0" applyNumberFormat="1" applyFont="1" applyFill="1" applyBorder="1" applyAlignment="1">
      <x:alignment vertical="center" wrapText="0"/>
    </x:xf>
    <x:xf numFmtId="164" fontId="2" fillId="0" borderId="2" xfId="0" applyNumberFormat="1" applyFont="1" applyFill="1" applyBorder="1" applyAlignment="1">
      <x:alignment vertical="center" wrapText="0"/>
    </x:xf>
    <x:xf numFmtId="164" fontId="2" fillId="4" borderId="2" xfId="0" applyNumberFormat="1" applyFont="1" applyFill="1" applyBorder="1" applyAlignment="1">
      <x:alignment vertical="center" wrapText="0"/>
    </x:xf>
    <x:xf numFmtId="200" fontId="2" fillId="0" borderId="0" xfId="0" applyNumberFormat="1" applyFont="1" applyFill="1" applyBorder="1" applyAlignment="1">
      <x:alignment vertical="center" wrapText="0"/>
    </x:xf>
    <x:xf numFmtId="164" fontId="5" fillId="0" borderId="2" xfId="0" applyNumberFormat="1" applyFont="1" applyFill="1" applyBorder="1" applyAlignment="1">
      <x:alignment vertical="bottom" wrapText="1"/>
    </x:xf>
    <x:xf numFmtId="1" fontId="5" fillId="0" borderId="2" xfId="0" applyNumberFormat="1" applyFont="1" applyFill="1" applyBorder="1" applyAlignment="1">
      <x:alignment vertical="bottom" wrapText="1"/>
    </x:xf>
    <x:xf numFmtId="200" fontId="5" fillId="0" borderId="2" xfId="0" applyNumberFormat="1" applyFont="1" applyFill="1" applyBorder="1" applyAlignment="1">
      <x:alignment vertical="bottom" wrapText="1"/>
    </x:xf>
    <x:xf numFmtId="201" fontId="5" fillId="0" borderId="2" xfId="0" applyNumberFormat="1" applyFont="1" applyFill="1" applyBorder="1" applyAlignment="1">
      <x:alignment vertical="bottom" wrapText="1"/>
    </x:xf>
    <x:xf numFmtId="200" fontId="6" fillId="0" borderId="2" xfId="0" applyNumberFormat="1" applyFont="1" applyFill="1" applyBorder="1" applyAlignment="1">
      <x:alignment vertical="bottom" wrapText="1"/>
    </x:xf>
    <x:xf numFmtId="201" fontId="6" fillId="0" borderId="2" xfId="0" applyNumberFormat="1" applyFont="1" applyFill="1" applyBorder="1" applyAlignment="1">
      <x:alignment vertical="bottom" wrapText="1"/>
    </x:xf>
    <x:xf numFmtId="200" fontId="6" fillId="0" borderId="2" xfId="0" applyNumberFormat="1" applyFont="1" applyFill="1" applyBorder="1" applyAlignment="1">
      <x:alignment vertical="center" wrapText="1"/>
    </x:xf>
    <x:xf numFmtId="201" fontId="6" fillId="0" borderId="2" xfId="0" applyNumberFormat="1" applyFont="1" applyFill="1" applyBorder="1" applyAlignment="1">
      <x:alignment vertical="center" wrapText="1"/>
    </x:xf>
    <x:xf numFmtId="164" fontId="4" fillId="3" borderId="2" xfId="0" applyNumberFormat="1" applyFont="1" applyFill="1" applyBorder="1" applyAlignment="1">
      <x:alignment vertical="center" wrapText="1"/>
    </x:xf>
    <x:xf numFmtId="164" fontId="4" fillId="0" borderId="2" xfId="0" applyNumberFormat="1" applyFont="1" applyFill="1" applyBorder="1" applyAlignment="1">
      <x:alignment vertical="center" wrapText="1"/>
    </x:xf>
    <x:xf numFmtId="165" fontId="4" fillId="3" borderId="2" xfId="0" applyNumberFormat="1" applyFont="1" applyFill="1" applyBorder="1" applyAlignment="1">
      <x:alignment vertical="center" wrapText="1"/>
    </x:xf>
    <x:xf numFmtId="1" fontId="4" fillId="0" borderId="2" xfId="0" applyNumberFormat="1" applyFont="1" applyFill="1" applyBorder="1" applyAlignment="1">
      <x:alignment vertical="center" wrapText="1"/>
    </x:xf>
    <x:xf numFmtId="1" fontId="4" fillId="3" borderId="2" xfId="0" applyNumberFormat="1" applyFont="1" applyFill="1" applyBorder="1" applyAlignment="1">
      <x:alignment vertical="center" wrapText="1"/>
    </x:xf>
    <x:xf numFmtId="165" fontId="4" fillId="0" borderId="2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3fa38194418416f" /><Relationship Type="http://schemas.openxmlformats.org/officeDocument/2006/relationships/theme" Target="/xl/theme/theme1.xml" Id="R5a636f8aec934d9d" /><Relationship Type="http://schemas.openxmlformats.org/officeDocument/2006/relationships/sharedStrings" Target="/xl/sharedStrings.xml" Id="R816b00874226468b" /><Relationship Type="http://schemas.openxmlformats.org/officeDocument/2006/relationships/worksheet" Target="/xl/worksheets/sheet1.xml" Id="Ra9d768b1060b44e8" /><Relationship Type="http://schemas.openxmlformats.org/officeDocument/2006/relationships/worksheet" Target="/xl/worksheets/sheet2.xml" Id="R55a72906e3884a8c" /><Relationship Type="http://schemas.openxmlformats.org/officeDocument/2006/relationships/worksheet" Target="/xl/worksheets/sheet3.xml" Id="R174025b12e6c44d6" /><Relationship Type="http://schemas.openxmlformats.org/officeDocument/2006/relationships/worksheet" Target="/xl/worksheets/sheet4.xml" Id="Rf17fc27948414df1" /><Relationship Type="http://schemas.openxmlformats.org/officeDocument/2006/relationships/worksheet" Target="/xl/worksheets/sheet5.xml" Id="R01dbc7ad533b46c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0200779af8e64ed4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050">
                <a:latin typeface="Arial"/>
                <a:ea typeface="Arial"/>
                <a:cs typeface="Arial"/>
              </a:rPr>
              <a:t>Illustrative weekly cash (scenario B)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5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No emergency funding</c:v>
          </c:tx>
          <c:spPr>
            <a:ln xmlns:a="http://schemas.openxmlformats.org/drawingml/2006/main" w="19050">
              <a:solidFill>
                <a:srgbClr val="4A7EBB"/>
              </a:solidFill>
              <a:prstDash val="solid"/>
            </a:ln>
          </c:spPr>
          <c:marker>
            <c:symbol val="none"/>
          </c:marker>
          <c:cat>
            <c:strRef>
              <c:f>'Summary'!$A$17:$A$29</c:f>
              <c:strCache>
                <c:ptCount val="0"/>
              </c:strCache>
            </c:strRef>
          </c:cat>
          <c:val>
            <c:numRef>
              <c:f>'Summary'!$B$17:$B$29</c:f>
              <c:numCache>
                <c:formatCode>#,##0;\(#,##0\);\-</c:formatCode>
                <c:ptCount val="0"/>
              </c:numCache>
            </c:numRef>
          </c:val>
          <c:smooth val="0"/>
        </c:ser>
        <c:ser>
          <c:idx val="1"/>
          <c:order val="1"/>
          <c:tx>
            <c:v>Simulated cover + credit</c:v>
          </c:tx>
          <c:spPr>
            <a:ln xmlns:a="http://schemas.openxmlformats.org/drawingml/2006/main" w="19050">
              <a:solidFill>
                <a:srgbClr val="BE4B48"/>
              </a:solidFill>
              <a:prstDash val="solid"/>
            </a:ln>
          </c:spPr>
          <c:marker>
            <c:symbol val="none"/>
          </c:marker>
          <c:cat>
            <c:strRef>
              <c:f>'Summary'!$A$17:$A$29</c:f>
              <c:strCache>
                <c:ptCount val="0"/>
              </c:strCache>
            </c:strRef>
          </c:cat>
          <c:val>
            <c:numRef>
              <c:f>'Summary'!$C$17:$C$29</c:f>
              <c:numCache>
                <c:formatCode>#,##0;\(#,##0\);\-</c:formatCode>
                <c:ptCount val="0"/>
              </c:numCache>
            </c:numRef>
          </c:val>
          <c:smooth val="0"/>
        </c:ser>
        <c:ser>
          <c:idx val="2"/>
          <c:order val="2"/>
          <c:tx>
            <c:v>Target cash floor</c:v>
          </c:tx>
          <c:spPr>
            <a:ln xmlns:a="http://schemas.openxmlformats.org/drawingml/2006/main" w="19050">
              <a:solidFill>
                <a:srgbClr val="6C8041"/>
              </a:solidFill>
              <a:prstDash val="dash"/>
            </a:ln>
          </c:spPr>
          <c:marker>
            <c:symbol val="none"/>
          </c:marker>
          <c:cat>
            <c:strRef>
              <c:f>'Summary'!$A$17:$A$29</c:f>
              <c:strCache>
                <c:ptCount val="0"/>
              </c:strCache>
            </c:strRef>
          </c:cat>
          <c:val>
            <c:numRef>
              <c:f>'Summary'!$D$17:$D$29</c:f>
              <c:numCache>
                <c:formatCode>#,##0;\(#,##0\);\-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Model week</a:t>
                </a:r>
              </a:p>
            </c:rich>
          </c:tx>
          <c:overlay val="0"/>
        </c:title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mUSD (demo)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825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2</xdr:row>
      <xdr:rowOff>0</xdr:rowOff>
    </xdr:from>
    <xdr:to>
      <xdr:col>17</xdr:col>
      <xdr:colOff>0</xdr:colOff>
      <xdr:row>24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200779af8e64e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2982ecb33cd74459" /></Relationships>
</file>

<file path=xl/worksheets/sheet1.xml><?xml version="1.0" encoding="utf-8"?>
<x:worksheet xmlns:x="http://schemas.openxmlformats.org/spreadsheetml/2006/main">
  <x:sheetFormatPr defaultColWidth="14.430000305175781" defaultRowHeight="15"/>
  <x:cols>
    <x:col min="1" max="1" width="131.25" hidden="0" customWidth="1"/>
    <x:col min="2" max="26" width="8.710000038146973" customWidth="1"/>
  </x:cols>
  <x:sheetData>
    <x:row r="1" ht="31" customHeight="1">
      <x:c r="A1" s="18" t="str">
        <x:v>Signal 8 Wallet: illustrative 13-week cash-flow scenarios</x:v>
      </x:c>
    </x:row>
    <x:row r="2" ht="31" customHeight="1">
      <x:c r="A2" s="19" t="str">
        <x:v>Units: mUSD, a fictional USD-denominated demo token. 1 mUSD is treated as approximately US$1, not HK$1.</x:v>
      </x:c>
    </x:row>
    <x:row r="3" ht="31" customHeight="1">
      <x:c r="A3" s="19" t="str"/>
    </x:row>
    <x:row r="4" ht="31" customHeight="1">
      <x:c r="A4" s="18" t="str">
        <x:v>How to use</x:v>
      </x:c>
    </x:row>
    <x:row r="5" ht="31" customHeight="1">
      <x:c r="A5" s="19" t="str">
        <x:v>Change only blue cells on Inputs. The two supplied scenarios remain side-by-side; neither is an exact runtime replay.</x:v>
      </x:c>
    </x:row>
    <x:row r="6" ht="31" customHeight="1">
      <x:c r="A6" s="19" t="str">
        <x:v>A: fixed-cost reference scenario. It shares selected FORECAST amounts, not its cash balance, payroll timing or cost implementation.</x:v>
      </x:c>
    </x:row>
    <x:row r="7" ht="31" customHeight="1">
      <x:c r="A7" s="19" t="str">
        <x:v>B: proposed fixed/variable costs and two-week headroom. These assumptions have not been adopted by the runtime or signed policy.</x:v>
      </x:c>
    </x:row>
    <x:row r="8" ht="31" customHeight="1">
      <x:c r="A8" s="19" t="str">
        <x:v>Forecast_A and Forecast_B compare no emergency funding with simulated cover plus credit. Credit creates debt, not revenue.</x:v>
      </x:c>
    </x:row>
    <x:row r="9" ht="31" customHeight="1">
      <x:c r="A9" s="19" t="str">
        <x:v>Summary shows week-end balances. Its remaining shortfall also checks opening cash; neither view establishes intra-week liquidity.</x:v>
      </x:c>
    </x:row>
    <x:row r="10" ht="31" customHeight="1">
      <x:c r="A10" s="19" t="str"/>
    </x:row>
    <x:row r="11" ht="31" customHeight="1">
      <x:c r="A11" s="18" t="str">
        <x:v>Credit draw sizing retained for comparison</x:v>
      </x:c>
    </x:row>
    <x:row r="12" ht="31" customHeight="1">
      <x:c r="A12" s="19" t="str">
        <x:v>The original pre-cost sizing formula is retained. It offsets cover against the projected minimum without respecting payout timing.</x:v>
      </x:c>
    </x:row>
    <x:row r="13" ht="31" customHeight="1">
      <x:c r="A13" s="19" t="str">
        <x:v>Remaining shortfall is now measured from actual modelled cash flows after costs, capped credit, payout timing and sweep.</x:v>
      </x:c>
    </x:row>
    <x:row r="14" ht="31" customHeight="1">
      <x:c r="A14" s="19" t="str">
        <x:v>Interest uses opening debt / 52 and is paid weekly. No interest is charged in the draw week. Opening debt is assumed zero.</x:v>
      </x:c>
    </x:row>
    <x:row r="15" ht="31" customHeight="1">
      <x:c r="A15" s="18" t="str">
        <x:v>Excluded: insurance premium, undrawn commitment fee, statutory employment costs and full monthly payroll payment timing.</x:v>
      </x:c>
    </x:row>
    <x:row r="16" ht="31" customHeight="1">
      <x:c r="A16" s="19" t="str">
        <x:v>A 10% gross-receipts sweep repays principal outside disrupted weeks. Credit may remain at week 13.</x:v>
      </x:c>
    </x:row>
    <x:row r="17" ht="31" customHeight="1">
      <x:c r="A17" s="19" t="str">
        <x:v>Source IDs are defined on Inputs. Scenario assumptions are not market quotations or regulatory approval.</x:v>
      </x:c>
    </x:row>
    <x:row r="18" ht="31" customHeight="1">
      <x:c r="A18" s="19" t="str">
        <x:v>The 16-day restaurant / 27-day small-business medians are from a 2016 US study using 2015 accounts, not current Hong Kong data.</x:v>
      </x:c>
    </x:row>
    <x:row r="19" ht="31" customHeight="1">
      <x:c r="A19" s="19" t="str">
        <x:v>Starting cash 20,000 is a scenario assumption. At 9,000 weekly outflows this corresponds to 15.6 days, not a validated shop reserve.</x:v>
      </x:c>
    </x:row>
    <x:row r="20" ht="31" customHeight="1">
      <x:c r="A20" s="19" t="str">
        <x:v>Fixed cost 6,300 and variable cost 27% remain unvalidated proposals. Payroll averages 23,000 x 12 / 52 = 5,307.69 weekly.</x:v>
      </x:c>
    </x:row>
    <x:row r="21" ht="31" customHeight="1">
      <x:c r="A21" s="19" t="str">
        <x:v>The 8% rate and 1% draw fee are illustrative. The HKMC ceiling cited is a dated 11 November 2024 snapshot, including relevant fees.</x:v>
      </x:c>
    </x:row>
    <x:row r="22" ht="31" customHeight="1">
      <x:c r="A22" s="20" t="str">
        <x:v>Negative cash represents an unmet funding requirement, not an approved overdraft. The 10,000 operating floor is a target, not a guarantee.</x:v>
      </x:c>
    </x:row>
    <x:row r="23" ht="31" customHeight="1">
      <x:c r="A23" s="20" t="str">
        <x:v>Chart: illustrative scenario B. It compares financing assumptions, not the isolated causal benefit of an AI wallet.</x:v>
      </x:c>
    </x:row>
    <x:row r="24" ht="15.75" customHeight="1"/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ColWidth="14.430000305175781" defaultRowHeight="15"/>
  <x:cols>
    <x:col min="1" max="1" width="37.5" hidden="0" customWidth="1"/>
    <x:col min="2" max="3" width="16" customWidth="1"/>
    <x:col min="4" max="4" width="37.5" hidden="0" customWidth="1"/>
    <x:col min="5" max="26" width="8.710000038146973" customWidth="1"/>
    <x:col min="2" max="2" width="22.5" hidden="0" customWidth="1"/>
    <x:col min="3" max="3" width="22.5" hidden="0" customWidth="1"/>
  </x:cols>
  <x:sheetData>
    <x:row r="1">
      <x:c r="A1" s="1" t="str">
        <x:v>Illustrative cash scenarios (mUSD demo; not runtime-equivalent)</x:v>
      </x:c>
    </x:row>
    <x:row r="3" ht="40" customHeight="1">
      <x:c r="A3" s="29" t="s">
        <x:v>0</x:v>
      </x:c>
      <x:c r="B3" s="29" t="str">
        <x:v>A: Fixed-cost reference</x:v>
      </x:c>
      <x:c r="C3" s="29" t="str">
        <x:v>B: Proposed split costs</x:v>
      </x:c>
      <x:c r="D3" s="29" t="s">
        <x:v>1</x:v>
      </x:c>
    </x:row>
    <x:row r="4" ht="40" customHeight="1">
      <x:c r="A4" s="33" t="str">
        <x:v>Lowest week-end cash: no funding</x:v>
      </x:c>
      <x:c r="B4" s="45" t="n">
        <x:f>MIN(Forecast_A!G5:G17)</x:f>
        <x:v>-27000</x:v>
      </x:c>
      <x:c r="C4" s="45" t="n">
        <x:f>MIN(Forecast_B!G5:G17)</x:f>
        <x:v>-12420</x:v>
      </x:c>
      <x:c r="D4" s="33" t="s">
        <x:v>2</x:v>
      </x:c>
    </x:row>
    <x:row r="5" ht="40" customHeight="1">
      <x:c r="A5" s="33" t="str">
        <x:v>Weeks below zero: no funding</x:v>
      </x:c>
      <x:c r="B5" s="46" t="n">
        <x:f>COUNTIF(Forecast_A!G5:G17,"&lt;0")</x:f>
        <x:v>10</x:v>
      </x:c>
      <x:c r="C5" s="46" t="n">
        <x:f>COUNTIF(Forecast_B!G5:G17,"&lt;0")</x:f>
        <x:v>9</x:v>
      </x:c>
      <x:c r="D5" s="33"/>
    </x:row>
    <x:row r="6" ht="40" customHeight="1">
      <x:c r="A6" s="33" t="str">
        <x:v>Modelled credit draw</x:v>
      </x:c>
      <x:c r="B6" s="45" t="n">
        <x:f>Forecast_A!R8</x:f>
        <x:v>15000</x:v>
      </x:c>
      <x:c r="C6" s="45" t="n">
        <x:f>Forecast_B!R8</x:f>
        <x:v>15000</x:v>
      </x:c>
      <x:c r="D6" s="33" t="s">
        <x:v>3</x:v>
      </x:c>
    </x:row>
    <x:row r="7" ht="40" customHeight="1">
      <x:c r="A7" s="33" t="str">
        <x:v>Remaining funding shortfall</x:v>
      </x:c>
      <x:c r="B7" s="45" t="n">
        <x:f>Forecast_A!R9</x:f>
        <x:v>2380.7692307692287</x:v>
      </x:c>
      <x:c r="C7" s="45" t="n">
        <x:f>Forecast_B!R9</x:f>
        <x:v>0</x:v>
      </x:c>
      <x:c r="D7" s="33" t="str">
        <x:v>After modelled costs, funding and sweeps; includes opening cash.</x:v>
      </x:c>
    </x:row>
    <x:row r="8" ht="40" customHeight="1">
      <x:c r="A8" s="33" t="str">
        <x:v>Lowest week-end cash: with funding</x:v>
      </x:c>
      <x:c r="B8" s="45" t="n">
        <x:f>MIN(Forecast_A!M5:M17)</x:f>
        <x:v>7619.230769230771</x:v>
      </x:c>
      <x:c r="C8" s="45" t="n">
        <x:f>MIN(Forecast_B!M5:M17)</x:f>
        <x:v>21000</x:v>
      </x:c>
      <x:c r="D8" s="33" t="str">
        <x:v>Week-end only; opening cash is 20,000. Floor is a target, not a guarantee.</x:v>
      </x:c>
    </x:row>
    <x:row r="9" ht="40" customHeight="1">
      <x:c r="A9" s="33" t="str">
        <x:v>Weeks below target floor: with funding</x:v>
      </x:c>
      <x:c r="B9" s="46" t="n">
        <x:f>COUNTIF(Forecast_A!M5:M17,"&lt;"&amp;Inputs!B11)</x:f>
        <x:v>7</x:v>
      </x:c>
      <x:c r="C9" s="46" t="n">
        <x:f>COUNTIF(Forecast_B!M5:M17,"&lt;"&amp;Inputs!C11)</x:f>
        <x:v>0</x:v>
      </x:c>
      <x:c r="D9" s="33"/>
    </x:row>
    <x:row r="10" ht="40" customHeight="1">
      <x:c r="A10" s="33" t="str">
        <x:v>Modelled interest + draw fee</x:v>
      </x:c>
      <x:c r="B10" s="45" t="n">
        <x:f>SUM(Forecast_A!J5:K17)</x:f>
        <x:v>380.7692307692307</x:v>
      </x:c>
      <x:c r="C10" s="45" t="n">
        <x:f>SUM(Forecast_B!J5:K17)</x:f>
        <x:v>380.7692307692307</x:v>
      </x:c>
      <x:c r="D10" s="33" t="str">
        <x:v>Excludes insurance premium and undrawn commitment fee.</x:v>
      </x:c>
    </x:row>
    <x:row r="11" ht="40" customHeight="1">
      <x:c r="A11" s="33" t="s">
        <x:v>4</x:v>
      </x:c>
      <x:c r="B11" s="45" t="n">
        <x:f>Forecast_A!N17</x:f>
        <x:v>9000</x:v>
      </x:c>
      <x:c r="C11" s="45" t="n">
        <x:f>Forecast_B!N17</x:f>
        <x:v>9000</x:v>
      </x:c>
      <x:c r="D11" s="33" t="s">
        <x:v>5</x:v>
      </x:c>
    </x:row>
    <x:row r="12" ht="40" customHeight="1">
      <x:c r="A12" s="33" t="str">
        <x:v>Week 13 closing cash: with funding</x:v>
      </x:c>
      <x:c r="B12" s="45" t="n">
        <x:f>Forecast_A!M17</x:f>
        <x:v>7619.230769230771</x:v>
      </x:c>
      <x:c r="C12" s="45" t="n">
        <x:f>Forecast_B!M17</x:f>
        <x:v>22199.230769230773</x:v>
      </x:c>
      <x:c r="D12" s="33"/>
    </x:row>
    <x:row r="15">
      <x:c r="A15" s="1" t="str">
        <x:v>Chart data: illustrative scenario B, not an AI-only benefit estimate</x:v>
      </x:c>
    </x:row>
    <x:row r="16" ht="35" customHeight="1">
      <x:c r="A16" s="21" t="s">
        <x:v>6</x:v>
      </x:c>
      <x:c r="B16" s="21" t="str">
        <x:v>No emergency funding</x:v>
      </x:c>
      <x:c r="C16" s="21" t="str">
        <x:v>Simulated cover + credit</x:v>
      </x:c>
      <x:c r="D16" s="21" t="str">
        <x:v>Target cash floor</x:v>
      </x:c>
    </x:row>
    <x:row r="17">
      <x:c r="A17" s="2">
        <x:v>1.0</x:v>
      </x:c>
      <x:c r="B17" s="17" t="n">
        <x:f>Forecast_B!G5</x:f>
        <x:v>21000</x:v>
      </x:c>
      <x:c r="C17" s="17" t="n">
        <x:f>Forecast_B!M5</x:f>
        <x:v>21000</x:v>
      </x:c>
      <x:c r="D17" s="17" t="n">
        <x:f>Forecast_B!O5</x:f>
        <x:v>10000</x:v>
      </x:c>
    </x:row>
    <x:row r="18">
      <x:c r="A18" s="2">
        <x:v>2.0</x:v>
      </x:c>
      <x:c r="B18" s="17" t="n">
        <x:f>Forecast_B!G6</x:f>
        <x:v>15430</x:v>
      </x:c>
      <x:c r="C18" s="17" t="n">
        <x:f>Forecast_B!M6</x:f>
        <x:v>50280</x:v>
      </x:c>
      <x:c r="D18" s="17" t="n">
        <x:f>Forecast_B!O6</x:f>
        <x:v>10000</x:v>
      </x:c>
    </x:row>
    <x:row r="19">
      <x:c r="A19" s="2">
        <x:v>3.0</x:v>
      </x:c>
      <x:c r="B19" s="17" t="n">
        <x:f>Forecast_B!G7</x:f>
        <x:v>9860</x:v>
      </x:c>
      <x:c r="C19" s="17" t="n">
        <x:f>Forecast_B!M7</x:f>
        <x:v>44686.92307692308</x:v>
      </x:c>
      <x:c r="D19" s="17" t="n">
        <x:f>Forecast_B!O7</x:f>
        <x:v>10000</x:v>
      </x:c>
    </x:row>
    <x:row r="20">
      <x:c r="A20" s="2">
        <x:v>4.0</x:v>
      </x:c>
      <x:c r="B20" s="17" t="n">
        <x:f>Forecast_B!G8</x:f>
        <x:v>4290</x:v>
      </x:c>
      <x:c r="C20" s="17" t="n">
        <x:f>Forecast_B!M8</x:f>
        <x:v>39093.846153846156</x:v>
      </x:c>
      <x:c r="D20" s="17" t="n">
        <x:f>Forecast_B!O8</x:f>
        <x:v>10000</x:v>
      </x:c>
    </x:row>
    <x:row r="21" ht="15.75" customHeight="1">
      <x:c r="A21" s="2">
        <x:v>5.0</x:v>
      </x:c>
      <x:c r="B21" s="17" t="n">
        <x:f>Forecast_B!G9</x:f>
        <x:v>-1280</x:v>
      </x:c>
      <x:c r="C21" s="17" t="n">
        <x:f>Forecast_B!M9</x:f>
        <x:v>33500.769230769234</x:v>
      </x:c>
      <x:c r="D21" s="17" t="n">
        <x:f>Forecast_B!O9</x:f>
        <x:v>10000</x:v>
      </x:c>
    </x:row>
    <x:row r="22" ht="15.75" customHeight="1">
      <x:c r="A22" s="2">
        <x:v>6.0</x:v>
      </x:c>
      <x:c r="B22" s="17" t="n">
        <x:f>Forecast_B!G10</x:f>
        <x:v>-6850</x:v>
      </x:c>
      <x:c r="C22" s="17" t="n">
        <x:f>Forecast_B!M10</x:f>
        <x:v>27907.692307692312</x:v>
      </x:c>
      <x:c r="D22" s="17" t="n">
        <x:f>Forecast_B!O10</x:f>
        <x:v>10000</x:v>
      </x:c>
    </x:row>
    <x:row r="23" ht="15.75" customHeight="1">
      <x:c r="A23" s="2">
        <x:v>7.0</x:v>
      </x:c>
      <x:c r="B23" s="17" t="n">
        <x:f>Forecast_B!G11</x:f>
        <x:v>-12420</x:v>
      </x:c>
      <x:c r="C23" s="17" t="n">
        <x:f>Forecast_B!M11</x:f>
        <x:v>22314.61538461539</x:v>
      </x:c>
      <x:c r="D23" s="17" t="n">
        <x:f>Forecast_B!O11</x:f>
        <x:v>10000</x:v>
      </x:c>
    </x:row>
    <x:row r="24" ht="15.75" customHeight="1">
      <x:c r="A24" s="2">
        <x:v>8.0</x:v>
      </x:c>
      <x:c r="B24" s="17" t="n">
        <x:f>Forecast_B!G12</x:f>
        <x:v>-11420</x:v>
      </x:c>
      <x:c r="C24" s="17" t="n">
        <x:f>Forecast_B!M12</x:f>
        <x:v>22291.53846153847</x:v>
      </x:c>
      <x:c r="D24" s="17" t="n">
        <x:f>Forecast_B!O12</x:f>
        <x:v>10000</x:v>
      </x:c>
    </x:row>
    <x:row r="25" ht="15.75" customHeight="1">
      <x:c r="A25" s="2">
        <x:v>9.0</x:v>
      </x:c>
      <x:c r="B25" s="17" t="n">
        <x:f>Forecast_B!G13</x:f>
        <x:v>-10420</x:v>
      </x:c>
      <x:c r="C25" s="17" t="n">
        <x:f>Forecast_B!M13</x:f>
        <x:v>22270.000000000007</x:v>
      </x:c>
      <x:c r="D25" s="17" t="n">
        <x:f>Forecast_B!O13</x:f>
        <x:v>10000</x:v>
      </x:c>
    </x:row>
    <x:row r="26" ht="15.75" customHeight="1">
      <x:c r="A26" s="2">
        <x:v>10.0</x:v>
      </x:c>
      <x:c r="B26" s="17" t="n">
        <x:f>Forecast_B!G14</x:f>
        <x:v>-9420</x:v>
      </x:c>
      <x:c r="C26" s="17" t="n">
        <x:f>Forecast_B!M14</x:f>
        <x:v>22250.000000000007</x:v>
      </x:c>
      <x:c r="D26" s="17" t="n">
        <x:f>Forecast_B!O14</x:f>
        <x:v>10000</x:v>
      </x:c>
    </x:row>
    <x:row r="27" ht="15.75" customHeight="1">
      <x:c r="A27" s="2">
        <x:v>11.0</x:v>
      </x:c>
      <x:c r="B27" s="17" t="n">
        <x:f>Forecast_B!G15</x:f>
        <x:v>-8420</x:v>
      </x:c>
      <x:c r="C27" s="17" t="n">
        <x:f>Forecast_B!M15</x:f>
        <x:v>22231.53846153847</x:v>
      </x:c>
      <x:c r="D27" s="17" t="n">
        <x:f>Forecast_B!O15</x:f>
        <x:v>10000</x:v>
      </x:c>
    </x:row>
    <x:row r="28" ht="15.75" customHeight="1">
      <x:c r="A28" s="2">
        <x:v>12.0</x:v>
      </x:c>
      <x:c r="B28" s="17" t="n">
        <x:f>Forecast_B!G16</x:f>
        <x:v>-7420</x:v>
      </x:c>
      <x:c r="C28" s="17" t="n">
        <x:f>Forecast_B!M16</x:f>
        <x:v>22214.61538461539</x:v>
      </x:c>
      <x:c r="D28" s="17" t="n">
        <x:f>Forecast_B!O16</x:f>
        <x:v>10000</x:v>
      </x:c>
    </x:row>
    <x:row r="29" ht="15.75" customHeight="1">
      <x:c r="A29" s="2">
        <x:v>13.0</x:v>
      </x:c>
      <x:c r="B29" s="17" t="n">
        <x:f>Forecast_B!G17</x:f>
        <x:v>-6420</x:v>
      </x:c>
      <x:c r="C29" s="17" t="n">
        <x:f>Forecast_B!M17</x:f>
        <x:v>22199.230769230773</x:v>
      </x:c>
      <x:c r="D29" s="17" t="n">
        <x:f>Forecast_B!O17</x:f>
        <x:v>10000</x:v>
      </x:c>
    </x:row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7" right="0.7" top="0.75" bottom="0.75" header="0.3" footer="0.3"/>
  <x:drawing xmlns:r="http://schemas.openxmlformats.org/officeDocument/2006/relationships" r:id="R2982ecb33cd74459"/>
</x:worksheet>
</file>

<file path=xl/worksheets/sheet3.xml><?xml version="1.0" encoding="utf-8"?>
<x:worksheet xmlns:x="http://schemas.openxmlformats.org/spreadsheetml/2006/main">
  <x:sheetFormatPr defaultColWidth="14.430000305175781" defaultRowHeight="15"/>
  <x:cols>
    <x:col min="1" max="1" width="37.5" hidden="0" customWidth="1"/>
    <x:col min="2" max="3" width="16" customWidth="1"/>
    <x:col min="4" max="4" width="12.5" hidden="0" customWidth="1"/>
    <x:col min="5" max="5" width="73.75" hidden="0" customWidth="1"/>
    <x:col min="6" max="26" width="8.710000038146973" customWidth="1"/>
    <x:col min="2" max="2" width="22.5" hidden="0" customWidth="1"/>
    <x:col min="3" max="3" width="22.5" hidden="0" customWidth="1"/>
  </x:cols>
  <x:sheetData>
    <x:row r="1">
      <x:c r="A1" s="1" t="s">
        <x:v>7</x:v>
      </x:c>
    </x:row>
    <x:row r="3" ht="43" customHeight="1">
      <x:c r="A3" s="29" t="s">
        <x:v>8</x:v>
      </x:c>
      <x:c r="B3" s="29" t="str">
        <x:v>A: Fixed-cost reference</x:v>
      </x:c>
      <x:c r="C3" s="29" t="str">
        <x:v>B: Proposed split costs</x:v>
      </x:c>
      <x:c r="D3" s="29" t="s">
        <x:v>9</x:v>
      </x:c>
      <x:c r="E3" s="29" t="s">
        <x:v>10</x:v>
      </x:c>
    </x:row>
    <x:row r="4" ht="43" customHeight="1">
      <x:c r="A4" s="33" t="s">
        <x:v>11</x:v>
      </x:c>
      <x:c r="B4" s="47">
        <x:v>20000.0</x:v>
      </x:c>
      <x:c r="C4" s="47" t="n">
        <x:v>20000</x:v>
      </x:c>
      <x:c r="D4" s="33" t="str">
        <x:v>mUSD</x:v>
      </x:c>
      <x:c r="E4" s="33" t="str">
        <x:v>Assumption: 20,000 opening cash; not the live Safe balance. US restaurant comparison only [S01].</x:v>
      </x:c>
    </x:row>
    <x:row r="5" ht="43" customHeight="1">
      <x:c r="A5" s="33" t="s">
        <x:v>12</x:v>
      </x:c>
      <x:c r="B5" s="48">
        <x:v>10000.0</x:v>
      </x:c>
      <x:c r="C5" s="48">
        <x:v>10000.0</x:v>
      </x:c>
      <x:c r="D5" s="33" t="str">
        <x:v>mUSD/week</x:v>
      </x:c>
      <x:c r="E5" s="33" t="str">
        <x:v>Selected runtime FORECAST amount [S03]; actual collections are scenario assumptions.</x:v>
      </x:c>
    </x:row>
    <x:row r="6" ht="43" customHeight="1">
      <x:c r="A6" s="33" t="s">
        <x:v>13</x:v>
      </x:c>
      <x:c r="B6" s="47">
        <x:v>9000.0</x:v>
      </x:c>
      <x:c r="C6" s="47">
        <x:v>6300.0</x:v>
      </x:c>
      <x:c r="D6" s="33" t="str">
        <x:v>mUSD/week</x:v>
      </x:c>
      <x:c r="E6" s="33" t="str">
        <x:v>B: 6,300 aggregate assumption, not a validated wage/rent split. Monthly payroll 23,000 averages 5,307.69/week [S04].</x:v>
      </x:c>
    </x:row>
    <x:row r="7" ht="43" customHeight="1">
      <x:c r="A7" s="33" t="s">
        <x:v>14</x:v>
      </x:c>
      <x:c r="B7" s="49">
        <x:v>0.0</x:v>
      </x:c>
      <x:c r="C7" s="49">
        <x:v>0.27</x:v>
      </x:c>
      <x:c r="D7" s="33" t="s">
        <x:v>15</x:v>
      </x:c>
      <x:c r="E7" s="33" t="str">
        <x:v>B: 27% scenario assumption; no shop-specific or Hong Kong market validation is claimed.</x:v>
      </x:c>
    </x:row>
    <x:row r="8" ht="43" customHeight="1">
      <x:c r="A8" s="33" t="s">
        <x:v>16</x:v>
      </x:c>
      <x:c r="B8" s="47">
        <x:v>1000.0</x:v>
      </x:c>
      <x:c r="C8" s="47">
        <x:v>1000.0</x:v>
      </x:c>
      <x:c r="D8" s="33" t="str">
        <x:v>mUSD/week</x:v>
      </x:c>
      <x:c r="E8" s="33" t="str">
        <x:v>Selected runtime FORECAST amount [S03], not measured Ragasa shop sales.</x:v>
      </x:c>
    </x:row>
    <x:row r="9" ht="43" customHeight="1">
      <x:c r="A9" s="33" t="s">
        <x:v>17</x:v>
      </x:c>
      <x:c r="B9" s="50">
        <x:v>2.0</x:v>
      </x:c>
      <x:c r="C9" s="50">
        <x:v>2.0</x:v>
      </x:c>
      <x:c r="D9" s="33" t="s">
        <x:v>18</x:v>
      </x:c>
      <x:c r="E9" s="33" t="str">
        <x:v>Scenario timing: one normal week before six disrupted weeks; not the post-payroll runtime horizon [S03].</x:v>
      </x:c>
    </x:row>
    <x:row r="10" ht="43" customHeight="1">
      <x:c r="A10" s="33" t="s">
        <x:v>19</x:v>
      </x:c>
      <x:c r="B10" s="51">
        <x:v>6.0</x:v>
      </x:c>
      <x:c r="C10" s="51">
        <x:v>6.0</x:v>
      </x:c>
      <x:c r="D10" s="33" t="s">
        <x:v>20</x:v>
      </x:c>
      <x:c r="E10" s="33" t="str">
        <x:v>Six disrupted weeks are a demo assumption [S03], not the HKO warning duration.</x:v>
      </x:c>
    </x:row>
    <x:row r="11" ht="43" customHeight="1">
      <x:c r="A11" s="33" t="s">
        <x:v>21</x:v>
      </x:c>
      <x:c r="B11" s="48">
        <x:v>10000.0</x:v>
      </x:c>
      <x:c r="C11" s="48">
        <x:v>10000.0</x:v>
      </x:c>
      <x:c r="D11" s="33" t="str">
        <x:v>mUSD</x:v>
      </x:c>
      <x:c r="E11" s="33" t="str">
        <x:v>Target operating cash floor [S03]. Not guaranteed when caps bind or funding arrives late.</x:v>
      </x:c>
    </x:row>
    <x:row r="12" ht="43" customHeight="1">
      <x:c r="A12" s="33" t="s">
        <x:v>22</x:v>
      </x:c>
      <x:c r="B12" s="48">
        <x:v>20000.0</x:v>
      </x:c>
      <x:c r="C12" s="48">
        <x:v>20000.0</x:v>
      </x:c>
      <x:c r="D12" s="33" t="str">
        <x:v>mUSD</x:v>
      </x:c>
      <x:c r="E12" s="33" t="str">
        <x:v>Fictional demo payout. Does not include an insurance premium or prove eligibility for a real product.</x:v>
      </x:c>
    </x:row>
    <x:row r="13" ht="43" customHeight="1">
      <x:c r="A13" s="33" t="s">
        <x:v>23</x:v>
      </x:c>
      <x:c r="B13" s="50">
        <x:v>2.0</x:v>
      </x:c>
      <x:c r="C13" s="50" t="n">
        <x:v>2</x:v>
      </x:c>
      <x:c r="D13" s="33" t="s">
        <x:v>18</x:v>
      </x:c>
      <x:c r="E13" s="33" t="str">
        <x:v>Scenario payout timing. The retained draw-sizing formula does not account for payout delay.</x:v>
      </x:c>
    </x:row>
    <x:row r="14" ht="43" customHeight="1">
      <x:c r="A14" s="33" t="s">
        <x:v>24</x:v>
      </x:c>
      <x:c r="B14" s="48">
        <x:v>15000.0</x:v>
      </x:c>
      <x:c r="C14" s="48">
        <x:v>15000.0</x:v>
      </x:c>
      <x:c r="D14" s="33" t="str">
        <x:v>mUSD</x:v>
      </x:c>
      <x:c r="E14" s="33" t="str">
        <x:v>Mock per-event limit [S05]. No change to signed limits.</x:v>
      </x:c>
    </x:row>
    <x:row r="15" ht="43" customHeight="1">
      <x:c r="A15" s="33" t="s">
        <x:v>25</x:v>
      </x:c>
      <x:c r="B15" s="48">
        <x:v>50000.0</x:v>
      </x:c>
      <x:c r="C15" s="48" t="n">
        <x:v>50000</x:v>
      </x:c>
      <x:c r="D15" s="33" t="str">
        <x:v>mUSD</x:v>
      </x:c>
      <x:c r="E15" s="33" t="str">
        <x:v>Mock total line [S05]. Opening debt assumed zero; this is not available room for an indebted borrower.</x:v>
      </x:c>
    </x:row>
    <x:row r="16" ht="43" customHeight="1">
      <x:c r="A16" s="33" t="s">
        <x:v>26</x:v>
      </x:c>
      <x:c r="B16" s="51">
        <x:v>0.0</x:v>
      </x:c>
      <x:c r="C16" s="51" t="n">
        <x:v>2</x:v>
      </x:c>
      <x:c r="D16" s="33" t="s">
        <x:v>20</x:v>
      </x:c>
      <x:c r="E16" s="33" t="str">
        <x:v>B: proposed two-week headroom, not implemented in current runtime [S03].</x:v>
      </x:c>
    </x:row>
    <x:row r="17" ht="43" customHeight="1">
      <x:c r="A17" s="33" t="s">
        <x:v>27</x:v>
      </x:c>
      <x:c r="B17" s="49">
        <x:v>0.08</x:v>
      </x:c>
      <x:c r="C17" s="49">
        <x:v>0.08</x:v>
      </x:c>
      <x:c r="D17" s="33" t="s">
        <x:v>28</x:v>
      </x:c>
      <x:c r="E17" s="33" t="str">
        <x:v>Illustrative 8% assumption. HKMC 10% overall ceiling is a dated 11 Nov 2024 snapshot [S02, p8], not a current quote or approval.</x:v>
      </x:c>
    </x:row>
    <x:row r="18" ht="43" customHeight="1">
      <x:c r="A18" s="33" t="s">
        <x:v>29</x:v>
      </x:c>
      <x:c r="B18" s="52">
        <x:v>0.01</x:v>
      </x:c>
      <x:c r="C18" s="52">
        <x:v>0.01</x:v>
      </x:c>
      <x:c r="D18" s="33" t="s">
        <x:v>30</x:v>
      </x:c>
      <x:c r="E18" s="33" t="str">
        <x:v>Illustrative 1% on each draw, not a charge implemented by the mock lender.</x:v>
      </x:c>
    </x:row>
    <x:row r="19" ht="43" customHeight="1">
      <x:c r="A19" s="33" t="s">
        <x:v>31</x:v>
      </x:c>
      <x:c r="B19" s="52">
        <x:v>0.1</x:v>
      </x:c>
      <x:c r="C19" s="52">
        <x:v>0.1</x:v>
      </x:c>
      <x:c r="D19" s="33" t="s">
        <x:v>15</x:v>
      </x:c>
      <x:c r="E19" s="33" t="str">
        <x:v>10% gross-receipts sweep outside storm weeks [S05]. Repays principal, not operating expense.</x:v>
      </x:c>
    </x:row>
    <x:row r="20">
      <x:c r="A20" s="30"/>
      <x:c r="B20" s="30"/>
      <x:c r="C20" s="30"/>
      <x:c r="D20" s="30"/>
      <x:c r="E20" s="30"/>
    </x:row>
    <x:row r="21" ht="15.75" customHeight="1">
      <x:c r="A21" s="30"/>
      <x:c r="B21" s="30"/>
      <x:c r="C21" s="30"/>
      <x:c r="D21" s="30"/>
      <x:c r="E21" s="30"/>
    </x:row>
    <x:row r="22" ht="15.75" customHeight="1">
      <x:c r="A22" s="30" t="str">
        <x:v>Source key (reviewed 14 October 2026)</x:v>
      </x:c>
      <x:c r="B22" s="30"/>
      <x:c r="C22" s="30"/>
      <x:c r="D22" s="30"/>
      <x:c r="E22" s="30"/>
    </x:row>
    <x:row r="23" ht="48" customHeight="1">
      <x:c r="A23" s="30" t="str">
        <x:v>S01</x:v>
      </x:c>
      <x:c r="B23" s="30"/>
      <x:c r="C23" s="30"/>
      <x:c r="D23" s="30"/>
      <x:c r="E23" s="30" t="str">
        <x:v>https://www.jpmorganchase.com/institute/all-topics/business-growth-and-entrepreneurship/report-cash-flows-balances-and-buffer-days</x:v>
      </x:c>
    </x:row>
    <x:row r="24" ht="48" customHeight="1">
      <x:c r="A24" s="30" t="str">
        <x:v>S02</x:v>
      </x:c>
      <x:c r="B24" s="30"/>
      <x:c r="C24" s="30"/>
      <x:c r="D24" s="30"/>
      <x:c r="E24" s="30" t="str">
        <x:v>https://www.hkmc.com.hk/files/product_shortcut/6/74/eng/SFGS%20Factsheet_Eng%20eff%2018%20Nov%202024_Final%20clean.pdf</x:v>
      </x:c>
    </x:row>
    <x:row r="25" ht="48" customHeight="1">
      <x:c r="A25" s="30" t="str">
        <x:v>S03</x:v>
      </x:c>
      <x:c r="B25" s="30"/>
      <x:c r="C25" s="30"/>
      <x:c r="D25" s="30"/>
      <x:c r="E25" s="30" t="str">
        <x:v>https://github.com/beaaan/signal8-wallet/blob/24145ab39d5aaf7f0ba8840bc2acfcd3859d5e82/agent/src/loops/storm.ts</x:v>
      </x:c>
    </x:row>
    <x:row r="26" ht="48" customHeight="1">
      <x:c r="A26" s="30" t="str">
        <x:v>S04</x:v>
      </x:c>
      <x:c r="B26" s="30"/>
      <x:c r="C26" s="30"/>
      <x:c r="D26" s="30"/>
      <x:c r="E26" s="30" t="str">
        <x:v>https://github.com/beaaan/signal8-wallet/blob/24145ab39d5aaf7f0ba8840bc2acfcd3859d5e82/data/fixtures/payroll.json</x:v>
      </x:c>
    </x:row>
    <x:row r="27" ht="48" customHeight="1">
      <x:c r="A27" s="30" t="str">
        <x:v>S05</x:v>
      </x:c>
      <x:c r="B27" s="30"/>
      <x:c r="C27" s="30"/>
      <x:c r="D27" s="30"/>
      <x:c r="E27" s="30" t="str">
        <x:v>https://github.com/beaaan/signal8-wallet/blob/24145ab39d5aaf7f0ba8840bc2acfcd3859d5e82/data/fixtures/loan.txt</x:v>
      </x:c>
    </x:row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ColWidth="14.430000305175781" defaultRowHeight="15"/>
  <x:cols>
    <x:col min="1" max="1" width="7" customWidth="1"/>
    <x:col min="2" max="15" width="13" customWidth="1"/>
    <x:col min="16" max="16" width="8.710000038146973" customWidth="1"/>
    <x:col min="17" max="17" width="30" hidden="0" customWidth="1"/>
    <x:col min="18" max="18" width="12" customWidth="1"/>
    <x:col min="19" max="26" width="8.710000038146973" customWidth="1"/>
    <x:col min="7" max="7" width="21.25" hidden="0" customWidth="1"/>
    <x:col min="13" max="13" width="22.5" hidden="0" customWidth="1"/>
  </x:cols>
  <x:sheetData>
    <x:row r="1">
      <x:c r="A1" s="1" t="str">
        <x:v>Forecast_A: weekly cash (fixed-cost reference; mUSD demo)</x:v>
      </x:c>
    </x:row>
    <x:row r="3" ht="43" customHeight="1">
      <x:c r="A3" s="29" t="s">
        <x:v>6</x:v>
      </x:c>
      <x:c r="B3" s="29" t="s">
        <x:v>32</x:v>
      </x:c>
      <x:c r="C3" s="29" t="s">
        <x:v>33</x:v>
      </x:c>
      <x:c r="D3" s="29" t="s">
        <x:v>34</x:v>
      </x:c>
      <x:c r="E3" s="29" t="s">
        <x:v>35</x:v>
      </x:c>
      <x:c r="F3" s="29" t="s">
        <x:v>36</x:v>
      </x:c>
      <x:c r="G3" s="29" t="str">
        <x:v>Closing cash: no emergency funding</x:v>
      </x:c>
      <x:c r="H3" s="29" t="s">
        <x:v>37</x:v>
      </x:c>
      <x:c r="I3" s="29" t="s">
        <x:v>38</x:v>
      </x:c>
      <x:c r="J3" s="29" t="s">
        <x:v>39</x:v>
      </x:c>
      <x:c r="K3" s="29" t="s">
        <x:v>40</x:v>
      </x:c>
      <x:c r="L3" s="29" t="s">
        <x:v>41</x:v>
      </x:c>
      <x:c r="M3" s="29" t="str">
        <x:v>Closing cash: simulated cover + credit</x:v>
      </x:c>
      <x:c r="N3" s="29" t="s">
        <x:v>42</x:v>
      </x:c>
      <x:c r="O3" s="29" t="str">
        <x:v>Target cash floor</x:v>
      </x:c>
      <x:c r="P3" s="30"/>
      <x:c r="Q3" s="31" t="s">
        <x:v>43</x:v>
      </x:c>
      <x:c r="R3" s="30"/>
    </x:row>
    <x:row r="4" ht="32" customHeight="1">
      <x:c r="A4" s="32"/>
      <x:c r="B4" s="32"/>
      <x:c r="C4" s="32"/>
      <x:c r="D4" s="32"/>
      <x:c r="E4" s="32"/>
      <x:c r="F4" s="32"/>
      <x:c r="G4" s="32"/>
      <x:c r="H4" s="32"/>
      <x:c r="I4" s="32"/>
      <x:c r="J4" s="32"/>
      <x:c r="K4" s="32"/>
      <x:c r="L4" s="32"/>
      <x:c r="M4" s="32"/>
      <x:c r="N4" s="32"/>
      <x:c r="O4" s="32"/>
      <x:c r="P4" s="32"/>
      <x:c r="Q4" s="33" t="str">
        <x:v>Lowest week-end cash before funding</x:v>
      </x:c>
      <x:c r="R4" s="38" t="n">
        <x:f>MIN(G5:G17)</x:f>
        <x:v>-27000</x:v>
      </x:c>
    </x:row>
    <x:row r="5" ht="32" customHeight="1">
      <x:c r="A5" s="35">
        <x:v>1.0</x:v>
      </x:c>
      <x:c r="B5" s="35" t="n">
        <x:f>IF(AND(A5&gt;=Inputs!$B$9,A5&lt;Inputs!$B$9+Inputs!$B$10),1,0)</x:f>
        <x:v>0</x:v>
      </x:c>
      <x:c r="C5" s="36" t="n">
        <x:f>IF(B5=1,Inputs!$B$8,Inputs!$B$5)</x:f>
        <x:v>10000</x:v>
      </x:c>
      <x:c r="D5" s="36" t="n">
        <x:f>C5*Inputs!$B$7</x:f>
        <x:v>0</x:v>
      </x:c>
      <x:c r="E5" s="36" t="n">
        <x:f>Inputs!$B$6</x:f>
        <x:v>9000</x:v>
      </x:c>
      <x:c r="F5" s="36" t="n">
        <x:f t="shared" ref="F5:F17" si="1">C5-D5-E5</x:f>
        <x:v>1000</x:v>
      </x:c>
      <x:c r="G5" s="37" t="n">
        <x:f>Inputs!$B$4+F5</x:f>
        <x:v>21000</x:v>
      </x:c>
      <x:c r="H5" s="36" t="n">
        <x:f>IF(A5=Inputs!$B$13,Inputs!$B$12,0)</x:f>
        <x:v>0</x:v>
      </x:c>
      <x:c r="I5" s="36" t="n">
        <x:f>IF(A5=Inputs!$B$9,$R$8,0)</x:f>
        <x:v>0</x:v>
      </x:c>
      <x:c r="J5" s="36" t="n">
        <x:f>I5*Inputs!$B$18</x:f>
        <x:v>0</x:v>
      </x:c>
      <x:c r="K5" s="36" t="n">
        <x:f>0*Inputs!$B$17/52</x:f>
        <x:v>0</x:v>
      </x:c>
      <x:c r="L5" s="36" t="n">
        <x:f>IF(AND(B5=0,A5&gt;Inputs!$B$9),MIN(Inputs!$B$19*C5,0),0)</x:f>
        <x:v>0</x:v>
      </x:c>
      <x:c r="M5" s="37" t="n">
        <x:f>Inputs!$B$4+F5+H5+I5-J5-K5-L5</x:f>
        <x:v>21000</x:v>
      </x:c>
      <x:c r="N5" s="36" t="n">
        <x:f>0+I5-L5</x:f>
        <x:v>0</x:v>
      </x:c>
      <x:c r="O5" s="36" t="n">
        <x:f>Inputs!$B$11</x:f>
        <x:v>10000</x:v>
      </x:c>
      <x:c r="P5" s="32"/>
      <x:c r="Q5" s="33" t="str">
        <x:v>Pre-cost gap after assumed cover</x:v>
      </x:c>
      <x:c r="R5" s="38" t="n">
        <x:f>MAX(0,Inputs!$B$11-(R4+Inputs!$B$12))</x:f>
        <x:v>17000</x:v>
      </x:c>
    </x:row>
    <x:row r="6" ht="32" customHeight="1">
      <x:c r="A6" s="35">
        <x:v>2.0</x:v>
      </x:c>
      <x:c r="B6" s="35" t="n">
        <x:f>IF(AND(A6&gt;=Inputs!$B$9,A6&lt;Inputs!$B$9+Inputs!$B$10),1,0)</x:f>
        <x:v>1</x:v>
      </x:c>
      <x:c r="C6" s="36" t="n">
        <x:f>IF(B6=1,Inputs!$B$8,Inputs!$B$5)</x:f>
        <x:v>1000</x:v>
      </x:c>
      <x:c r="D6" s="36" t="n">
        <x:f>C6*Inputs!$B$7</x:f>
        <x:v>0</x:v>
      </x:c>
      <x:c r="E6" s="36" t="n">
        <x:f>Inputs!$B$6</x:f>
        <x:v>9000</x:v>
      </x:c>
      <x:c r="F6" s="36" t="n">
        <x:f t="shared" si="1">C6-D6-E6</x:f>
        <x:v>-8000</x:v>
      </x:c>
      <x:c r="G6" s="37" t="n">
        <x:f t="shared" ref="G6:G17" si="2">G5+F6</x:f>
        <x:v>13000</x:v>
      </x:c>
      <x:c r="H6" s="36" t="n">
        <x:f>IF(A6=Inputs!$B$13,Inputs!$B$12,0)</x:f>
        <x:v>20000</x:v>
      </x:c>
      <x:c r="I6" s="36" t="n">
        <x:f>IF(A6=Inputs!$B$9,$R$8,0)</x:f>
        <x:v>15000</x:v>
      </x:c>
      <x:c r="J6" s="36" t="n">
        <x:f>I6*Inputs!$B$18</x:f>
        <x:v>150</x:v>
      </x:c>
      <x:c r="K6" s="36" t="n">
        <x:f>N5*Inputs!$B$17/52</x:f>
        <x:v>0</x:v>
      </x:c>
      <x:c r="L6" s="36" t="n">
        <x:f>IF(AND(B6=0,A6&gt;Inputs!$B$9),MIN(Inputs!$B$19*C6,N5),0)</x:f>
        <x:v>0</x:v>
      </x:c>
      <x:c r="M6" s="37" t="n">
        <x:f t="shared" ref="M6:M17" si="3">M5+F6+H6+I6-J6-K6-L6</x:f>
        <x:v>47850</x:v>
      </x:c>
      <x:c r="N6" s="36" t="n">
        <x:f t="shared" ref="N6:N17" si="4">N5+I6-L6</x:f>
        <x:v>15000</x:v>
      </x:c>
      <x:c r="O6" s="36" t="n">
        <x:f>Inputs!$B$11</x:f>
        <x:v>10000</x:v>
      </x:c>
      <x:c r="P6" s="32"/>
      <x:c r="Q6" s="33" t="s">
        <x:v>44</x:v>
      </x:c>
      <x:c r="R6" s="38" t="n">
        <x:f>IF(R5&gt;0,Inputs!$B$16*Inputs!$B$6,0)</x:f>
        <x:v>0</x:v>
      </x:c>
    </x:row>
    <x:row r="7" ht="32" customHeight="1">
      <x:c r="A7" s="35">
        <x:v>3.0</x:v>
      </x:c>
      <x:c r="B7" s="35" t="n">
        <x:f>IF(AND(A7&gt;=Inputs!$B$9,A7&lt;Inputs!$B$9+Inputs!$B$10),1,0)</x:f>
        <x:v>1</x:v>
      </x:c>
      <x:c r="C7" s="36" t="n">
        <x:f>IF(B7=1,Inputs!$B$8,Inputs!$B$5)</x:f>
        <x:v>1000</x:v>
      </x:c>
      <x:c r="D7" s="36" t="n">
        <x:f>C7*Inputs!$B$7</x:f>
        <x:v>0</x:v>
      </x:c>
      <x:c r="E7" s="36" t="n">
        <x:f>Inputs!$B$6</x:f>
        <x:v>9000</x:v>
      </x:c>
      <x:c r="F7" s="36" t="n">
        <x:f t="shared" si="1">C7-D7-E7</x:f>
        <x:v>-8000</x:v>
      </x:c>
      <x:c r="G7" s="37" t="n">
        <x:f t="shared" si="2">G6+F7</x:f>
        <x:v>5000</x:v>
      </x:c>
      <x:c r="H7" s="36" t="n">
        <x:f>IF(A7=Inputs!$B$13,Inputs!$B$12,0)</x:f>
        <x:v>0</x:v>
      </x:c>
      <x:c r="I7" s="36" t="n">
        <x:f>IF(A7=Inputs!$B$9,$R$8,0)</x:f>
        <x:v>0</x:v>
      </x:c>
      <x:c r="J7" s="36" t="n">
        <x:f>I7*Inputs!$B$18</x:f>
        <x:v>0</x:v>
      </x:c>
      <x:c r="K7" s="36" t="n">
        <x:f>N6*Inputs!$B$17/52</x:f>
        <x:v>23.076923076923077</x:v>
      </x:c>
      <x:c r="L7" s="36" t="n">
        <x:f>IF(AND(B7=0,A7&gt;Inputs!$B$9),MIN(Inputs!$B$19*C7,N6),0)</x:f>
        <x:v>0</x:v>
      </x:c>
      <x:c r="M7" s="37" t="n">
        <x:f t="shared" si="3">M6+F7+H7+I7-J7-K7-L7</x:f>
        <x:v>39826.92307692308</x:v>
      </x:c>
      <x:c r="N7" s="36" t="n">
        <x:f t="shared" si="4">N6+I7-L7</x:f>
        <x:v>15000</x:v>
      </x:c>
      <x:c r="O7" s="36" t="n">
        <x:f>Inputs!$B$11</x:f>
        <x:v>10000</x:v>
      </x:c>
      <x:c r="P7" s="32"/>
      <x:c r="Q7" s="33" t="s">
        <x:v>45</x:v>
      </x:c>
      <x:c r="R7" s="38" t="n">
        <x:f>R5+R6</x:f>
        <x:v>17000</x:v>
      </x:c>
    </x:row>
    <x:row r="8" ht="32" customHeight="1">
      <x:c r="A8" s="35">
        <x:v>4.0</x:v>
      </x:c>
      <x:c r="B8" s="35" t="n">
        <x:f>IF(AND(A8&gt;=Inputs!$B$9,A8&lt;Inputs!$B$9+Inputs!$B$10),1,0)</x:f>
        <x:v>1</x:v>
      </x:c>
      <x:c r="C8" s="36" t="n">
        <x:f>IF(B8=1,Inputs!$B$8,Inputs!$B$5)</x:f>
        <x:v>1000</x:v>
      </x:c>
      <x:c r="D8" s="36" t="n">
        <x:f>C8*Inputs!$B$7</x:f>
        <x:v>0</x:v>
      </x:c>
      <x:c r="E8" s="36" t="n">
        <x:f>Inputs!$B$6</x:f>
        <x:v>9000</x:v>
      </x:c>
      <x:c r="F8" s="36" t="n">
        <x:f t="shared" si="1">C8-D8-E8</x:f>
        <x:v>-8000</x:v>
      </x:c>
      <x:c r="G8" s="37" t="n">
        <x:f t="shared" si="2">G7+F8</x:f>
        <x:v>-3000</x:v>
      </x:c>
      <x:c r="H8" s="36" t="n">
        <x:f>IF(A8=Inputs!$B$13,Inputs!$B$12,0)</x:f>
        <x:v>0</x:v>
      </x:c>
      <x:c r="I8" s="36" t="n">
        <x:f>IF(A8=Inputs!$B$9,$R$8,0)</x:f>
        <x:v>0</x:v>
      </x:c>
      <x:c r="J8" s="36" t="n">
        <x:f>I8*Inputs!$B$18</x:f>
        <x:v>0</x:v>
      </x:c>
      <x:c r="K8" s="36" t="n">
        <x:f>N7*Inputs!$B$17/52</x:f>
        <x:v>23.076923076923077</x:v>
      </x:c>
      <x:c r="L8" s="36" t="n">
        <x:f>IF(AND(B8=0,A8&gt;Inputs!$B$9),MIN(Inputs!$B$19*C8,N7),0)</x:f>
        <x:v>0</x:v>
      </x:c>
      <x:c r="M8" s="37" t="n">
        <x:f t="shared" si="3">M7+F8+H8+I8-J8-K8-L8</x:f>
        <x:v>31803.846153846156</x:v>
      </x:c>
      <x:c r="N8" s="36" t="n">
        <x:f t="shared" si="4">N7+I8-L8</x:f>
        <x:v>15000</x:v>
      </x:c>
      <x:c r="O8" s="36" t="n">
        <x:f>Inputs!$B$11</x:f>
        <x:v>10000</x:v>
      </x:c>
      <x:c r="P8" s="32"/>
      <x:c r="Q8" s="33" t="s">
        <x:v>46</x:v>
      </x:c>
      <x:c r="R8" s="38" t="n">
        <x:f>MIN(Inputs!$B$14,Inputs!$B$15,R7)</x:f>
        <x:v>15000</x:v>
      </x:c>
    </x:row>
    <x:row r="9" ht="32" customHeight="1">
      <x:c r="A9" s="35">
        <x:v>5.0</x:v>
      </x:c>
      <x:c r="B9" s="35" t="n">
        <x:f>IF(AND(A9&gt;=Inputs!$B$9,A9&lt;Inputs!$B$9+Inputs!$B$10),1,0)</x:f>
        <x:v>1</x:v>
      </x:c>
      <x:c r="C9" s="36" t="n">
        <x:f>IF(B9=1,Inputs!$B$8,Inputs!$B$5)</x:f>
        <x:v>1000</x:v>
      </x:c>
      <x:c r="D9" s="36" t="n">
        <x:f>C9*Inputs!$B$7</x:f>
        <x:v>0</x:v>
      </x:c>
      <x:c r="E9" s="36" t="n">
        <x:f>Inputs!$B$6</x:f>
        <x:v>9000</x:v>
      </x:c>
      <x:c r="F9" s="36" t="n">
        <x:f t="shared" si="1">C9-D9-E9</x:f>
        <x:v>-8000</x:v>
      </x:c>
      <x:c r="G9" s="37" t="n">
        <x:f t="shared" si="2">G8+F9</x:f>
        <x:v>-11000</x:v>
      </x:c>
      <x:c r="H9" s="36" t="n">
        <x:f>IF(A9=Inputs!$B$13,Inputs!$B$12,0)</x:f>
        <x:v>0</x:v>
      </x:c>
      <x:c r="I9" s="36" t="n">
        <x:f>IF(A9=Inputs!$B$9,$R$8,0)</x:f>
        <x:v>0</x:v>
      </x:c>
      <x:c r="J9" s="36" t="n">
        <x:f>I9*Inputs!$B$18</x:f>
        <x:v>0</x:v>
      </x:c>
      <x:c r="K9" s="36" t="n">
        <x:f>N8*Inputs!$B$17/52</x:f>
        <x:v>23.076923076923077</x:v>
      </x:c>
      <x:c r="L9" s="36" t="n">
        <x:f>IF(AND(B9=0,A9&gt;Inputs!$B$9),MIN(Inputs!$B$19*C9,N8),0)</x:f>
        <x:v>0</x:v>
      </x:c>
      <x:c r="M9" s="37" t="n">
        <x:f t="shared" si="3">M8+F9+H9+I9-J9-K9-L9</x:f>
        <x:v>23780.769230769234</x:v>
      </x:c>
      <x:c r="N9" s="36" t="n">
        <x:f t="shared" si="4">N8+I9-L9</x:f>
        <x:v>15000</x:v>
      </x:c>
      <x:c r="O9" s="36" t="n">
        <x:f>Inputs!$B$11</x:f>
        <x:v>10000</x:v>
      </x:c>
      <x:c r="P9" s="32"/>
      <x:c r="Q9" s="33" t="str">
        <x:v>Remaining shortfall after modelled flows</x:v>
      </x:c>
      <x:c r="R9" s="38" t="n">
        <x:f>MAX(0,Inputs!$B$11-MIN(Inputs!$B$4,M5:M17))</x:f>
        <x:v>2380.7692307692287</x:v>
      </x:c>
    </x:row>
    <x:row r="10" ht="32" customHeight="1">
      <x:c r="A10" s="35">
        <x:v>6.0</x:v>
      </x:c>
      <x:c r="B10" s="35" t="n">
        <x:f>IF(AND(A10&gt;=Inputs!$B$9,A10&lt;Inputs!$B$9+Inputs!$B$10),1,0)</x:f>
        <x:v>1</x:v>
      </x:c>
      <x:c r="C10" s="36" t="n">
        <x:f>IF(B10=1,Inputs!$B$8,Inputs!$B$5)</x:f>
        <x:v>1000</x:v>
      </x:c>
      <x:c r="D10" s="36" t="n">
        <x:f>C10*Inputs!$B$7</x:f>
        <x:v>0</x:v>
      </x:c>
      <x:c r="E10" s="36" t="n">
        <x:f>Inputs!$B$6</x:f>
        <x:v>9000</x:v>
      </x:c>
      <x:c r="F10" s="36" t="n">
        <x:f t="shared" si="1">C10-D10-E10</x:f>
        <x:v>-8000</x:v>
      </x:c>
      <x:c r="G10" s="37" t="n">
        <x:f t="shared" si="2">G9+F10</x:f>
        <x:v>-19000</x:v>
      </x:c>
      <x:c r="H10" s="36" t="n">
        <x:f>IF(A10=Inputs!$B$13,Inputs!$B$12,0)</x:f>
        <x:v>0</x:v>
      </x:c>
      <x:c r="I10" s="36" t="n">
        <x:f>IF(A10=Inputs!$B$9,$R$8,0)</x:f>
        <x:v>0</x:v>
      </x:c>
      <x:c r="J10" s="36" t="n">
        <x:f>I10*Inputs!$B$18</x:f>
        <x:v>0</x:v>
      </x:c>
      <x:c r="K10" s="36" t="n">
        <x:f>N9*Inputs!$B$17/52</x:f>
        <x:v>23.076923076923077</x:v>
      </x:c>
      <x:c r="L10" s="36" t="n">
        <x:f>IF(AND(B10=0,A10&gt;Inputs!$B$9),MIN(Inputs!$B$19*C10,N9),0)</x:f>
        <x:v>0</x:v>
      </x:c>
      <x:c r="M10" s="37" t="n">
        <x:f t="shared" si="3">M9+F10+H10+I10-J10-K10-L10</x:f>
        <x:v>15757.69230769231</x:v>
      </x:c>
      <x:c r="N10" s="36" t="n">
        <x:f t="shared" si="4">N9+I10-L10</x:f>
        <x:v>15000</x:v>
      </x:c>
      <x:c r="O10" s="36" t="n">
        <x:f>Inputs!$B$11</x:f>
        <x:v>10000</x:v>
      </x:c>
      <x:c r="P10" s="32"/>
      <x:c r="Q10" s="32"/>
      <x:c r="R10" s="32"/>
    </x:row>
    <x:row r="11" ht="32" customHeight="1">
      <x:c r="A11" s="35">
        <x:v>7.0</x:v>
      </x:c>
      <x:c r="B11" s="35" t="n">
        <x:f>IF(AND(A11&gt;=Inputs!$B$9,A11&lt;Inputs!$B$9+Inputs!$B$10),1,0)</x:f>
        <x:v>1</x:v>
      </x:c>
      <x:c r="C11" s="36" t="n">
        <x:f>IF(B11=1,Inputs!$B$8,Inputs!$B$5)</x:f>
        <x:v>1000</x:v>
      </x:c>
      <x:c r="D11" s="36" t="n">
        <x:f>C11*Inputs!$B$7</x:f>
        <x:v>0</x:v>
      </x:c>
      <x:c r="E11" s="36" t="n">
        <x:f>Inputs!$B$6</x:f>
        <x:v>9000</x:v>
      </x:c>
      <x:c r="F11" s="36" t="n">
        <x:f t="shared" si="1">C11-D11-E11</x:f>
        <x:v>-8000</x:v>
      </x:c>
      <x:c r="G11" s="37" t="n">
        <x:f t="shared" si="2">G10+F11</x:f>
        <x:v>-27000</x:v>
      </x:c>
      <x:c r="H11" s="36" t="n">
        <x:f>IF(A11=Inputs!$B$13,Inputs!$B$12,0)</x:f>
        <x:v>0</x:v>
      </x:c>
      <x:c r="I11" s="36" t="n">
        <x:f>IF(A11=Inputs!$B$9,$R$8,0)</x:f>
        <x:v>0</x:v>
      </x:c>
      <x:c r="J11" s="36" t="n">
        <x:f>I11*Inputs!$B$18</x:f>
        <x:v>0</x:v>
      </x:c>
      <x:c r="K11" s="36" t="n">
        <x:f>N10*Inputs!$B$17/52</x:f>
        <x:v>23.076923076923077</x:v>
      </x:c>
      <x:c r="L11" s="36" t="n">
        <x:f>IF(AND(B11=0,A11&gt;Inputs!$B$9),MIN(Inputs!$B$19*C11,N10),0)</x:f>
        <x:v>0</x:v>
      </x:c>
      <x:c r="M11" s="37" t="n">
        <x:f t="shared" si="3">M10+F11+H11+I11-J11-K11-L11</x:f>
        <x:v>7734.6153846153875</x:v>
      </x:c>
      <x:c r="N11" s="36" t="n">
        <x:f t="shared" si="4">N10+I11-L11</x:f>
        <x:v>15000</x:v>
      </x:c>
      <x:c r="O11" s="36" t="n">
        <x:f>Inputs!$B$11</x:f>
        <x:v>10000</x:v>
      </x:c>
      <x:c r="P11" s="32"/>
      <x:c r="Q11" s="32"/>
      <x:c r="R11" s="32"/>
    </x:row>
    <x:row r="12" ht="32" customHeight="1">
      <x:c r="A12" s="35">
        <x:v>8.0</x:v>
      </x:c>
      <x:c r="B12" s="35" t="n">
        <x:f>IF(AND(A12&gt;=Inputs!$B$9,A12&lt;Inputs!$B$9+Inputs!$B$10),1,0)</x:f>
        <x:v>0</x:v>
      </x:c>
      <x:c r="C12" s="36" t="n">
        <x:f>IF(B12=1,Inputs!$B$8,Inputs!$B$5)</x:f>
        <x:v>10000</x:v>
      </x:c>
      <x:c r="D12" s="36" t="n">
        <x:f>C12*Inputs!$B$7</x:f>
        <x:v>0</x:v>
      </x:c>
      <x:c r="E12" s="36" t="n">
        <x:f>Inputs!$B$6</x:f>
        <x:v>9000</x:v>
      </x:c>
      <x:c r="F12" s="36" t="n">
        <x:f t="shared" si="1">C12-D12-E12</x:f>
        <x:v>1000</x:v>
      </x:c>
      <x:c r="G12" s="37" t="n">
        <x:f t="shared" si="2">G11+F12</x:f>
        <x:v>-26000</x:v>
      </x:c>
      <x:c r="H12" s="36" t="n">
        <x:f>IF(A12=Inputs!$B$13,Inputs!$B$12,0)</x:f>
        <x:v>0</x:v>
      </x:c>
      <x:c r="I12" s="36" t="n">
        <x:f>IF(A12=Inputs!$B$9,$R$8,0)</x:f>
        <x:v>0</x:v>
      </x:c>
      <x:c r="J12" s="36" t="n">
        <x:f>I12*Inputs!$B$18</x:f>
        <x:v>0</x:v>
      </x:c>
      <x:c r="K12" s="36" t="n">
        <x:f>N11*Inputs!$B$17/52</x:f>
        <x:v>23.076923076923077</x:v>
      </x:c>
      <x:c r="L12" s="36" t="n">
        <x:f>IF(AND(B12=0,A12&gt;Inputs!$B$9),MIN(Inputs!$B$19*C12,N11),0)</x:f>
        <x:v>1000</x:v>
      </x:c>
      <x:c r="M12" s="37" t="n">
        <x:f t="shared" si="3">M11+F12+H12+I12-J12-K12-L12</x:f>
        <x:v>7711.538461538463</x:v>
      </x:c>
      <x:c r="N12" s="36" t="n">
        <x:f t="shared" si="4">N11+I12-L12</x:f>
        <x:v>14000</x:v>
      </x:c>
      <x:c r="O12" s="36" t="n">
        <x:f>Inputs!$B$11</x:f>
        <x:v>10000</x:v>
      </x:c>
      <x:c r="P12" s="32"/>
      <x:c r="Q12" s="32"/>
      <x:c r="R12" s="32"/>
    </x:row>
    <x:row r="13" ht="32" customHeight="1">
      <x:c r="A13" s="35">
        <x:v>9.0</x:v>
      </x:c>
      <x:c r="B13" s="35" t="n">
        <x:f>IF(AND(A13&gt;=Inputs!$B$9,A13&lt;Inputs!$B$9+Inputs!$B$10),1,0)</x:f>
        <x:v>0</x:v>
      </x:c>
      <x:c r="C13" s="36" t="n">
        <x:f>IF(B13=1,Inputs!$B$8,Inputs!$B$5)</x:f>
        <x:v>10000</x:v>
      </x:c>
      <x:c r="D13" s="36" t="n">
        <x:f>C13*Inputs!$B$7</x:f>
        <x:v>0</x:v>
      </x:c>
      <x:c r="E13" s="36" t="n">
        <x:f>Inputs!$B$6</x:f>
        <x:v>9000</x:v>
      </x:c>
      <x:c r="F13" s="36" t="n">
        <x:f t="shared" si="1">C13-D13-E13</x:f>
        <x:v>1000</x:v>
      </x:c>
      <x:c r="G13" s="37" t="n">
        <x:f t="shared" si="2">G12+F13</x:f>
        <x:v>-25000</x:v>
      </x:c>
      <x:c r="H13" s="36" t="n">
        <x:f>IF(A13=Inputs!$B$13,Inputs!$B$12,0)</x:f>
        <x:v>0</x:v>
      </x:c>
      <x:c r="I13" s="36" t="n">
        <x:f>IF(A13=Inputs!$B$9,$R$8,0)</x:f>
        <x:v>0</x:v>
      </x:c>
      <x:c r="J13" s="36" t="n">
        <x:f>I13*Inputs!$B$18</x:f>
        <x:v>0</x:v>
      </x:c>
      <x:c r="K13" s="36" t="n">
        <x:f>N12*Inputs!$B$17/52</x:f>
        <x:v>21.53846153846154</x:v>
      </x:c>
      <x:c r="L13" s="36" t="n">
        <x:f>IF(AND(B13=0,A13&gt;Inputs!$B$9),MIN(Inputs!$B$19*C13,N12),0)</x:f>
        <x:v>1000</x:v>
      </x:c>
      <x:c r="M13" s="37" t="n">
        <x:f t="shared" si="3">M12+F13+H13+I13-J13-K13-L13</x:f>
        <x:v>7690.000000000002</x:v>
      </x:c>
      <x:c r="N13" s="36" t="n">
        <x:f t="shared" si="4">N12+I13-L13</x:f>
        <x:v>13000</x:v>
      </x:c>
      <x:c r="O13" s="36" t="n">
        <x:f>Inputs!$B$11</x:f>
        <x:v>10000</x:v>
      </x:c>
      <x:c r="P13" s="32"/>
      <x:c r="Q13" s="32"/>
      <x:c r="R13" s="32"/>
    </x:row>
    <x:row r="14" ht="32" customHeight="1">
      <x:c r="A14" s="35">
        <x:v>10.0</x:v>
      </x:c>
      <x:c r="B14" s="35" t="n">
        <x:f>IF(AND(A14&gt;=Inputs!$B$9,A14&lt;Inputs!$B$9+Inputs!$B$10),1,0)</x:f>
        <x:v>0</x:v>
      </x:c>
      <x:c r="C14" s="36" t="n">
        <x:f>IF(B14=1,Inputs!$B$8,Inputs!$B$5)</x:f>
        <x:v>10000</x:v>
      </x:c>
      <x:c r="D14" s="36" t="n">
        <x:f>C14*Inputs!$B$7</x:f>
        <x:v>0</x:v>
      </x:c>
      <x:c r="E14" s="36" t="n">
        <x:f>Inputs!$B$6</x:f>
        <x:v>9000</x:v>
      </x:c>
      <x:c r="F14" s="36" t="n">
        <x:f t="shared" si="1">C14-D14-E14</x:f>
        <x:v>1000</x:v>
      </x:c>
      <x:c r="G14" s="37" t="n">
        <x:f t="shared" si="2">G13+F14</x:f>
        <x:v>-24000</x:v>
      </x:c>
      <x:c r="H14" s="36" t="n">
        <x:f>IF(A14=Inputs!$B$13,Inputs!$B$12,0)</x:f>
        <x:v>0</x:v>
      </x:c>
      <x:c r="I14" s="36" t="n">
        <x:f>IF(A14=Inputs!$B$9,$R$8,0)</x:f>
        <x:v>0</x:v>
      </x:c>
      <x:c r="J14" s="36" t="n">
        <x:f>I14*Inputs!$B$18</x:f>
        <x:v>0</x:v>
      </x:c>
      <x:c r="K14" s="36" t="n">
        <x:f>N13*Inputs!$B$17/52</x:f>
        <x:v>20</x:v>
      </x:c>
      <x:c r="L14" s="36" t="n">
        <x:f>IF(AND(B14=0,A14&gt;Inputs!$B$9),MIN(Inputs!$B$19*C14,N13),0)</x:f>
        <x:v>1000</x:v>
      </x:c>
      <x:c r="M14" s="37" t="n">
        <x:f t="shared" si="3">M13+F14+H14+I14-J14-K14-L14</x:f>
        <x:v>7670.000000000002</x:v>
      </x:c>
      <x:c r="N14" s="36" t="n">
        <x:f t="shared" si="4">N13+I14-L14</x:f>
        <x:v>12000</x:v>
      </x:c>
      <x:c r="O14" s="36" t="n">
        <x:f>Inputs!$B$11</x:f>
        <x:v>10000</x:v>
      </x:c>
      <x:c r="P14" s="32"/>
      <x:c r="Q14" s="32"/>
      <x:c r="R14" s="32"/>
    </x:row>
    <x:row r="15" ht="32" customHeight="1">
      <x:c r="A15" s="35">
        <x:v>11.0</x:v>
      </x:c>
      <x:c r="B15" s="35" t="n">
        <x:f>IF(AND(A15&gt;=Inputs!$B$9,A15&lt;Inputs!$B$9+Inputs!$B$10),1,0)</x:f>
        <x:v>0</x:v>
      </x:c>
      <x:c r="C15" s="36" t="n">
        <x:f>IF(B15=1,Inputs!$B$8,Inputs!$B$5)</x:f>
        <x:v>10000</x:v>
      </x:c>
      <x:c r="D15" s="36" t="n">
        <x:f>C15*Inputs!$B$7</x:f>
        <x:v>0</x:v>
      </x:c>
      <x:c r="E15" s="36" t="n">
        <x:f>Inputs!$B$6</x:f>
        <x:v>9000</x:v>
      </x:c>
      <x:c r="F15" s="36" t="n">
        <x:f t="shared" si="1">C15-D15-E15</x:f>
        <x:v>1000</x:v>
      </x:c>
      <x:c r="G15" s="37" t="n">
        <x:f t="shared" si="2">G14+F15</x:f>
        <x:v>-23000</x:v>
      </x:c>
      <x:c r="H15" s="36" t="n">
        <x:f>IF(A15=Inputs!$B$13,Inputs!$B$12,0)</x:f>
        <x:v>0</x:v>
      </x:c>
      <x:c r="I15" s="36" t="n">
        <x:f>IF(A15=Inputs!$B$9,$R$8,0)</x:f>
        <x:v>0</x:v>
      </x:c>
      <x:c r="J15" s="36" t="n">
        <x:f>I15*Inputs!$B$18</x:f>
        <x:v>0</x:v>
      </x:c>
      <x:c r="K15" s="36" t="n">
        <x:f>N14*Inputs!$B$17/52</x:f>
        <x:v>18.46153846153846</x:v>
      </x:c>
      <x:c r="L15" s="36" t="n">
        <x:f>IF(AND(B15=0,A15&gt;Inputs!$B$9),MIN(Inputs!$B$19*C15,N14),0)</x:f>
        <x:v>1000</x:v>
      </x:c>
      <x:c r="M15" s="37" t="n">
        <x:f t="shared" si="3">M14+F15+H15+I15-J15-K15-L15</x:f>
        <x:v>7651.538461538463</x:v>
      </x:c>
      <x:c r="N15" s="36" t="n">
        <x:f t="shared" si="4">N14+I15-L15</x:f>
        <x:v>11000</x:v>
      </x:c>
      <x:c r="O15" s="36" t="n">
        <x:f>Inputs!$B$11</x:f>
        <x:v>10000</x:v>
      </x:c>
      <x:c r="P15" s="32"/>
      <x:c r="Q15" s="32"/>
      <x:c r="R15" s="32"/>
    </x:row>
    <x:row r="16" ht="32" customHeight="1">
      <x:c r="A16" s="35">
        <x:v>12.0</x:v>
      </x:c>
      <x:c r="B16" s="35" t="n">
        <x:f>IF(AND(A16&gt;=Inputs!$B$9,A16&lt;Inputs!$B$9+Inputs!$B$10),1,0)</x:f>
        <x:v>0</x:v>
      </x:c>
      <x:c r="C16" s="36" t="n">
        <x:f>IF(B16=1,Inputs!$B$8,Inputs!$B$5)</x:f>
        <x:v>10000</x:v>
      </x:c>
      <x:c r="D16" s="36" t="n">
        <x:f>C16*Inputs!$B$7</x:f>
        <x:v>0</x:v>
      </x:c>
      <x:c r="E16" s="36" t="n">
        <x:f>Inputs!$B$6</x:f>
        <x:v>9000</x:v>
      </x:c>
      <x:c r="F16" s="36" t="n">
        <x:f t="shared" si="1">C16-D16-E16</x:f>
        <x:v>1000</x:v>
      </x:c>
      <x:c r="G16" s="37" t="n">
        <x:f t="shared" si="2">G15+F16</x:f>
        <x:v>-22000</x:v>
      </x:c>
      <x:c r="H16" s="36" t="n">
        <x:f>IF(A16=Inputs!$B$13,Inputs!$B$12,0)</x:f>
        <x:v>0</x:v>
      </x:c>
      <x:c r="I16" s="36" t="n">
        <x:f>IF(A16=Inputs!$B$9,$R$8,0)</x:f>
        <x:v>0</x:v>
      </x:c>
      <x:c r="J16" s="36" t="n">
        <x:f>I16*Inputs!$B$18</x:f>
        <x:v>0</x:v>
      </x:c>
      <x:c r="K16" s="36" t="n">
        <x:f>N15*Inputs!$B$17/52</x:f>
        <x:v>16.923076923076923</x:v>
      </x:c>
      <x:c r="L16" s="36" t="n">
        <x:f>IF(AND(B16=0,A16&gt;Inputs!$B$9),MIN(Inputs!$B$19*C16,N15),0)</x:f>
        <x:v>1000</x:v>
      </x:c>
      <x:c r="M16" s="37" t="n">
        <x:f t="shared" si="3">M15+F16+H16+I16-J16-K16-L16</x:f>
        <x:v>7634.615384615387</x:v>
      </x:c>
      <x:c r="N16" s="36" t="n">
        <x:f t="shared" si="4">N15+I16-L16</x:f>
        <x:v>10000</x:v>
      </x:c>
      <x:c r="O16" s="36" t="n">
        <x:f>Inputs!$B$11</x:f>
        <x:v>10000</x:v>
      </x:c>
      <x:c r="P16" s="32"/>
      <x:c r="Q16" s="32"/>
      <x:c r="R16" s="32"/>
    </x:row>
    <x:row r="17" ht="32" customHeight="1">
      <x:c r="A17" s="35">
        <x:v>13.0</x:v>
      </x:c>
      <x:c r="B17" s="35" t="n">
        <x:f>IF(AND(A17&gt;=Inputs!$B$9,A17&lt;Inputs!$B$9+Inputs!$B$10),1,0)</x:f>
        <x:v>0</x:v>
      </x:c>
      <x:c r="C17" s="36" t="n">
        <x:f>IF(B17=1,Inputs!$B$8,Inputs!$B$5)</x:f>
        <x:v>10000</x:v>
      </x:c>
      <x:c r="D17" s="36" t="n">
        <x:f>C17*Inputs!$B$7</x:f>
        <x:v>0</x:v>
      </x:c>
      <x:c r="E17" s="36" t="n">
        <x:f>Inputs!$B$6</x:f>
        <x:v>9000</x:v>
      </x:c>
      <x:c r="F17" s="36" t="n">
        <x:f t="shared" si="1">C17-D17-E17</x:f>
        <x:v>1000</x:v>
      </x:c>
      <x:c r="G17" s="37" t="n">
        <x:f t="shared" si="2">G16+F17</x:f>
        <x:v>-21000</x:v>
      </x:c>
      <x:c r="H17" s="36" t="n">
        <x:f>IF(A17=Inputs!$B$13,Inputs!$B$12,0)</x:f>
        <x:v>0</x:v>
      </x:c>
      <x:c r="I17" s="36" t="n">
        <x:f>IF(A17=Inputs!$B$9,$R$8,0)</x:f>
        <x:v>0</x:v>
      </x:c>
      <x:c r="J17" s="36" t="n">
        <x:f>I17*Inputs!$B$18</x:f>
        <x:v>0</x:v>
      </x:c>
      <x:c r="K17" s="36" t="n">
        <x:f>N16*Inputs!$B$17/52</x:f>
        <x:v>15.384615384615385</x:v>
      </x:c>
      <x:c r="L17" s="36" t="n">
        <x:f>IF(AND(B17=0,A17&gt;Inputs!$B$9),MIN(Inputs!$B$19*C17,N16),0)</x:f>
        <x:v>1000</x:v>
      </x:c>
      <x:c r="M17" s="37" t="n">
        <x:f t="shared" si="3">M16+F17+H17+I17-J17-K17-L17</x:f>
        <x:v>7619.230769230771</x:v>
      </x:c>
      <x:c r="N17" s="36" t="n">
        <x:f t="shared" si="4">N16+I17-L17</x:f>
        <x:v>9000</x:v>
      </x:c>
      <x:c r="O17" s="36" t="n">
        <x:f>Inputs!$B$11</x:f>
        <x:v>10000</x:v>
      </x:c>
      <x:c r="P17" s="32"/>
      <x:c r="Q17" s="32"/>
      <x:c r="R17" s="32"/>
    </x:row>
    <x:row r="19" ht="40" customHeight="1">
      <x:c r="A19" s="28" t="str">
        <x:v>Weekly model only. Negative cash means unmet funding. The remaining shortfall includes opening cash; sizing retains the pre-cost timing limitation.</x:v>
      </x:c>
    </x:row>
    <x:row r="21" ht="15.75" customHeight="1"/>
    <x:row r="22" ht="15.75" customHeight="1"/>
    <x:row r="23" ht="15.75" customHeight="1"/>
    <x:row r="24" ht="15.75" customHeight="1"/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ColWidth="14.430000305175781" defaultRowHeight="15"/>
  <x:cols>
    <x:col min="1" max="1" width="7" customWidth="1"/>
    <x:col min="2" max="15" width="13" customWidth="1"/>
    <x:col min="16" max="16" width="8.710000038146973" customWidth="1"/>
    <x:col min="17" max="17" width="30" hidden="0" customWidth="1"/>
    <x:col min="18" max="18" width="12" customWidth="1"/>
    <x:col min="19" max="26" width="8.710000038146973" customWidth="1"/>
    <x:col min="7" max="7" width="21.25" hidden="0" customWidth="1"/>
    <x:col min="13" max="13" width="22.5" hidden="0" customWidth="1"/>
  </x:cols>
  <x:sheetData>
    <x:row r="1">
      <x:c r="A1" s="1" t="str">
        <x:v>Forecast_B: weekly cash (proposed split costs; mUSD demo)</x:v>
      </x:c>
    </x:row>
    <x:row r="3" ht="43" customHeight="1">
      <x:c r="A3" s="29" t="s">
        <x:v>6</x:v>
      </x:c>
      <x:c r="B3" s="29" t="s">
        <x:v>32</x:v>
      </x:c>
      <x:c r="C3" s="29" t="s">
        <x:v>33</x:v>
      </x:c>
      <x:c r="D3" s="29" t="s">
        <x:v>34</x:v>
      </x:c>
      <x:c r="E3" s="29" t="s">
        <x:v>35</x:v>
      </x:c>
      <x:c r="F3" s="29" t="s">
        <x:v>36</x:v>
      </x:c>
      <x:c r="G3" s="29" t="str">
        <x:v>Closing cash: no emergency funding</x:v>
      </x:c>
      <x:c r="H3" s="29" t="s">
        <x:v>37</x:v>
      </x:c>
      <x:c r="I3" s="29" t="s">
        <x:v>38</x:v>
      </x:c>
      <x:c r="J3" s="29" t="s">
        <x:v>39</x:v>
      </x:c>
      <x:c r="K3" s="29" t="s">
        <x:v>40</x:v>
      </x:c>
      <x:c r="L3" s="29" t="s">
        <x:v>41</x:v>
      </x:c>
      <x:c r="M3" s="29" t="str">
        <x:v>Closing cash: simulated cover + credit</x:v>
      </x:c>
      <x:c r="N3" s="29" t="s">
        <x:v>42</x:v>
      </x:c>
      <x:c r="O3" s="29" t="str">
        <x:v>Target cash floor</x:v>
      </x:c>
      <x:c r="P3" s="30"/>
      <x:c r="Q3" s="31" t="s">
        <x:v>43</x:v>
      </x:c>
      <x:c r="R3" s="30"/>
    </x:row>
    <x:row r="4" ht="32" customHeight="1">
      <x:c r="A4" s="32"/>
      <x:c r="B4" s="32"/>
      <x:c r="C4" s="32"/>
      <x:c r="D4" s="32"/>
      <x:c r="E4" s="32"/>
      <x:c r="F4" s="32"/>
      <x:c r="G4" s="32"/>
      <x:c r="H4" s="32"/>
      <x:c r="I4" s="32"/>
      <x:c r="J4" s="32"/>
      <x:c r="K4" s="32"/>
      <x:c r="L4" s="32"/>
      <x:c r="M4" s="32"/>
      <x:c r="N4" s="32"/>
      <x:c r="O4" s="32"/>
      <x:c r="P4" s="32"/>
      <x:c r="Q4" s="33" t="str">
        <x:v>Lowest week-end cash before funding</x:v>
      </x:c>
      <x:c r="R4" s="38" t="n">
        <x:f>MIN(G5:G17)</x:f>
        <x:v>-12420</x:v>
      </x:c>
    </x:row>
    <x:row r="5" ht="32" customHeight="1">
      <x:c r="A5" s="35">
        <x:v>1.0</x:v>
      </x:c>
      <x:c r="B5" s="35" t="n">
        <x:f>IF(AND(A5&gt;=Inputs!$C$9,A5&lt;Inputs!$C$9+Inputs!$C$10),1,0)</x:f>
        <x:v>0</x:v>
      </x:c>
      <x:c r="C5" s="36" t="n">
        <x:f>IF(B5=1,Inputs!$C$8,Inputs!$C$5)</x:f>
        <x:v>10000</x:v>
      </x:c>
      <x:c r="D5" s="36" t="n">
        <x:f>C5*Inputs!$C$7</x:f>
        <x:v>2700</x:v>
      </x:c>
      <x:c r="E5" s="36" t="n">
        <x:f>Inputs!$C$6</x:f>
        <x:v>6300</x:v>
      </x:c>
      <x:c r="F5" s="36" t="n">
        <x:f t="shared" ref="F5:F17" si="1">C5-D5-E5</x:f>
        <x:v>1000</x:v>
      </x:c>
      <x:c r="G5" s="37" t="n">
        <x:f>Inputs!$C$4+F5</x:f>
        <x:v>21000</x:v>
      </x:c>
      <x:c r="H5" s="36" t="n">
        <x:f>IF(A5=Inputs!$C$13,Inputs!$C$12,0)</x:f>
        <x:v>0</x:v>
      </x:c>
      <x:c r="I5" s="36" t="n">
        <x:f>IF(A5=Inputs!$C$9,$R$8,0)</x:f>
        <x:v>0</x:v>
      </x:c>
      <x:c r="J5" s="36" t="n">
        <x:f>I5*Inputs!$C$18</x:f>
        <x:v>0</x:v>
      </x:c>
      <x:c r="K5" s="36" t="n">
        <x:f>0*Inputs!$C$17/52</x:f>
        <x:v>0</x:v>
      </x:c>
      <x:c r="L5" s="36" t="n">
        <x:f>IF(AND(B5=0,A5&gt;Inputs!$C$9),MIN(Inputs!$C$19*C5,0),0)</x:f>
        <x:v>0</x:v>
      </x:c>
      <x:c r="M5" s="37" t="n">
        <x:f>Inputs!$C$4+F5+H5+I5-J5-K5-L5</x:f>
        <x:v>21000</x:v>
      </x:c>
      <x:c r="N5" s="36" t="n">
        <x:f>0+I5-L5</x:f>
        <x:v>0</x:v>
      </x:c>
      <x:c r="O5" s="36" t="n">
        <x:f>Inputs!$C$11</x:f>
        <x:v>10000</x:v>
      </x:c>
      <x:c r="P5" s="32"/>
      <x:c r="Q5" s="33" t="str">
        <x:v>Pre-cost gap after assumed cover</x:v>
      </x:c>
      <x:c r="R5" s="38" t="n">
        <x:f>MAX(0,Inputs!$C$11-(R4+Inputs!$C$12))</x:f>
        <x:v>2420</x:v>
      </x:c>
    </x:row>
    <x:row r="6" ht="32" customHeight="1">
      <x:c r="A6" s="35">
        <x:v>2.0</x:v>
      </x:c>
      <x:c r="B6" s="35" t="n">
        <x:f>IF(AND(A6&gt;=Inputs!$C$9,A6&lt;Inputs!$C$9+Inputs!$C$10),1,0)</x:f>
        <x:v>1</x:v>
      </x:c>
      <x:c r="C6" s="36" t="n">
        <x:f>IF(B6=1,Inputs!$C$8,Inputs!$C$5)</x:f>
        <x:v>1000</x:v>
      </x:c>
      <x:c r="D6" s="36" t="n">
        <x:f>C6*Inputs!$C$7</x:f>
        <x:v>270</x:v>
      </x:c>
      <x:c r="E6" s="36" t="n">
        <x:f>Inputs!$C$6</x:f>
        <x:v>6300</x:v>
      </x:c>
      <x:c r="F6" s="36" t="n">
        <x:f t="shared" si="1">C6-D6-E6</x:f>
        <x:v>-5570</x:v>
      </x:c>
      <x:c r="G6" s="37" t="n">
        <x:f t="shared" ref="G6:G17" si="2">G5+F6</x:f>
        <x:v>15430</x:v>
      </x:c>
      <x:c r="H6" s="36" t="n">
        <x:f>IF(A6=Inputs!$C$13,Inputs!$C$12,0)</x:f>
        <x:v>20000</x:v>
      </x:c>
      <x:c r="I6" s="36" t="n">
        <x:f>IF(A6=Inputs!$C$9,$R$8,0)</x:f>
        <x:v>15000</x:v>
      </x:c>
      <x:c r="J6" s="36" t="n">
        <x:f>I6*Inputs!$C$18</x:f>
        <x:v>150</x:v>
      </x:c>
      <x:c r="K6" s="36" t="n">
        <x:f>N5*Inputs!$C$17/52</x:f>
        <x:v>0</x:v>
      </x:c>
      <x:c r="L6" s="36" t="n">
        <x:f>IF(AND(B6=0,A6&gt;Inputs!$C$9),MIN(Inputs!$C$19*C6,N5),0)</x:f>
        <x:v>0</x:v>
      </x:c>
      <x:c r="M6" s="37" t="n">
        <x:f t="shared" ref="M6:M17" si="3">M5+F6+H6+I6-J6-K6-L6</x:f>
        <x:v>50280</x:v>
      </x:c>
      <x:c r="N6" s="36" t="n">
        <x:f t="shared" ref="N6:N17" si="4">N5+I6-L6</x:f>
        <x:v>15000</x:v>
      </x:c>
      <x:c r="O6" s="36" t="n">
        <x:f>Inputs!$C$11</x:f>
        <x:v>10000</x:v>
      </x:c>
      <x:c r="P6" s="32"/>
      <x:c r="Q6" s="33" t="s">
        <x:v>44</x:v>
      </x:c>
      <x:c r="R6" s="38" t="n">
        <x:f>IF(R5&gt;0,Inputs!$C$16*Inputs!$C$6,0)</x:f>
        <x:v>12600</x:v>
      </x:c>
    </x:row>
    <x:row r="7" ht="32" customHeight="1">
      <x:c r="A7" s="35">
        <x:v>3.0</x:v>
      </x:c>
      <x:c r="B7" s="35" t="n">
        <x:f>IF(AND(A7&gt;=Inputs!$C$9,A7&lt;Inputs!$C$9+Inputs!$C$10),1,0)</x:f>
        <x:v>1</x:v>
      </x:c>
      <x:c r="C7" s="36" t="n">
        <x:f>IF(B7=1,Inputs!$C$8,Inputs!$C$5)</x:f>
        <x:v>1000</x:v>
      </x:c>
      <x:c r="D7" s="36" t="n">
        <x:f>C7*Inputs!$C$7</x:f>
        <x:v>270</x:v>
      </x:c>
      <x:c r="E7" s="36" t="n">
        <x:f>Inputs!$C$6</x:f>
        <x:v>6300</x:v>
      </x:c>
      <x:c r="F7" s="36" t="n">
        <x:f t="shared" si="1">C7-D7-E7</x:f>
        <x:v>-5570</x:v>
      </x:c>
      <x:c r="G7" s="37" t="n">
        <x:f t="shared" si="2">G6+F7</x:f>
        <x:v>9860</x:v>
      </x:c>
      <x:c r="H7" s="36" t="n">
        <x:f>IF(A7=Inputs!$C$13,Inputs!$C$12,0)</x:f>
        <x:v>0</x:v>
      </x:c>
      <x:c r="I7" s="36" t="n">
        <x:f>IF(A7=Inputs!$C$9,$R$8,0)</x:f>
        <x:v>0</x:v>
      </x:c>
      <x:c r="J7" s="36" t="n">
        <x:f>I7*Inputs!$C$18</x:f>
        <x:v>0</x:v>
      </x:c>
      <x:c r="K7" s="36" t="n">
        <x:f>N6*Inputs!$C$17/52</x:f>
        <x:v>23.076923076923077</x:v>
      </x:c>
      <x:c r="L7" s="36" t="n">
        <x:f>IF(AND(B7=0,A7&gt;Inputs!$C$9),MIN(Inputs!$C$19*C7,N6),0)</x:f>
        <x:v>0</x:v>
      </x:c>
      <x:c r="M7" s="37" t="n">
        <x:f t="shared" si="3">M6+F7+H7+I7-J7-K7-L7</x:f>
        <x:v>44686.92307692308</x:v>
      </x:c>
      <x:c r="N7" s="36" t="n">
        <x:f t="shared" si="4">N6+I7-L7</x:f>
        <x:v>15000</x:v>
      </x:c>
      <x:c r="O7" s="36" t="n">
        <x:f>Inputs!$C$11</x:f>
        <x:v>10000</x:v>
      </x:c>
      <x:c r="P7" s="32"/>
      <x:c r="Q7" s="33" t="s">
        <x:v>45</x:v>
      </x:c>
      <x:c r="R7" s="38" t="n">
        <x:f>R5+R6</x:f>
        <x:v>15020</x:v>
      </x:c>
    </x:row>
    <x:row r="8" ht="32" customHeight="1">
      <x:c r="A8" s="35">
        <x:v>4.0</x:v>
      </x:c>
      <x:c r="B8" s="35" t="n">
        <x:f>IF(AND(A8&gt;=Inputs!$C$9,A8&lt;Inputs!$C$9+Inputs!$C$10),1,0)</x:f>
        <x:v>1</x:v>
      </x:c>
      <x:c r="C8" s="36" t="n">
        <x:f>IF(B8=1,Inputs!$C$8,Inputs!$C$5)</x:f>
        <x:v>1000</x:v>
      </x:c>
      <x:c r="D8" s="36" t="n">
        <x:f>C8*Inputs!$C$7</x:f>
        <x:v>270</x:v>
      </x:c>
      <x:c r="E8" s="36" t="n">
        <x:f>Inputs!$C$6</x:f>
        <x:v>6300</x:v>
      </x:c>
      <x:c r="F8" s="36" t="n">
        <x:f t="shared" si="1">C8-D8-E8</x:f>
        <x:v>-5570</x:v>
      </x:c>
      <x:c r="G8" s="37" t="n">
        <x:f t="shared" si="2">G7+F8</x:f>
        <x:v>4290</x:v>
      </x:c>
      <x:c r="H8" s="36" t="n">
        <x:f>IF(A8=Inputs!$C$13,Inputs!$C$12,0)</x:f>
        <x:v>0</x:v>
      </x:c>
      <x:c r="I8" s="36" t="n">
        <x:f>IF(A8=Inputs!$C$9,$R$8,0)</x:f>
        <x:v>0</x:v>
      </x:c>
      <x:c r="J8" s="36" t="n">
        <x:f>I8*Inputs!$C$18</x:f>
        <x:v>0</x:v>
      </x:c>
      <x:c r="K8" s="36" t="n">
        <x:f>N7*Inputs!$C$17/52</x:f>
        <x:v>23.076923076923077</x:v>
      </x:c>
      <x:c r="L8" s="36" t="n">
        <x:f>IF(AND(B8=0,A8&gt;Inputs!$C$9),MIN(Inputs!$C$19*C8,N7),0)</x:f>
        <x:v>0</x:v>
      </x:c>
      <x:c r="M8" s="37" t="n">
        <x:f t="shared" si="3">M7+F8+H8+I8-J8-K8-L8</x:f>
        <x:v>39093.846153846156</x:v>
      </x:c>
      <x:c r="N8" s="36" t="n">
        <x:f t="shared" si="4">N7+I8-L8</x:f>
        <x:v>15000</x:v>
      </x:c>
      <x:c r="O8" s="36" t="n">
        <x:f>Inputs!$C$11</x:f>
        <x:v>10000</x:v>
      </x:c>
      <x:c r="P8" s="32"/>
      <x:c r="Q8" s="33" t="s">
        <x:v>46</x:v>
      </x:c>
      <x:c r="R8" s="38" t="n">
        <x:f>MIN(Inputs!$C$14,Inputs!$C$15,R7)</x:f>
        <x:v>15000</x:v>
      </x:c>
    </x:row>
    <x:row r="9" ht="32" customHeight="1">
      <x:c r="A9" s="35">
        <x:v>5.0</x:v>
      </x:c>
      <x:c r="B9" s="35" t="n">
        <x:f>IF(AND(A9&gt;=Inputs!$C$9,A9&lt;Inputs!$C$9+Inputs!$C$10),1,0)</x:f>
        <x:v>1</x:v>
      </x:c>
      <x:c r="C9" s="36" t="n">
        <x:f>IF(B9=1,Inputs!$C$8,Inputs!$C$5)</x:f>
        <x:v>1000</x:v>
      </x:c>
      <x:c r="D9" s="36" t="n">
        <x:f>C9*Inputs!$C$7</x:f>
        <x:v>270</x:v>
      </x:c>
      <x:c r="E9" s="36" t="n">
        <x:f>Inputs!$C$6</x:f>
        <x:v>6300</x:v>
      </x:c>
      <x:c r="F9" s="36" t="n">
        <x:f t="shared" si="1">C9-D9-E9</x:f>
        <x:v>-5570</x:v>
      </x:c>
      <x:c r="G9" s="37" t="n">
        <x:f t="shared" si="2">G8+F9</x:f>
        <x:v>-1280</x:v>
      </x:c>
      <x:c r="H9" s="36" t="n">
        <x:f>IF(A9=Inputs!$C$13,Inputs!$C$12,0)</x:f>
        <x:v>0</x:v>
      </x:c>
      <x:c r="I9" s="36" t="n">
        <x:f>IF(A9=Inputs!$C$9,$R$8,0)</x:f>
        <x:v>0</x:v>
      </x:c>
      <x:c r="J9" s="36" t="n">
        <x:f>I9*Inputs!$C$18</x:f>
        <x:v>0</x:v>
      </x:c>
      <x:c r="K9" s="36" t="n">
        <x:f>N8*Inputs!$C$17/52</x:f>
        <x:v>23.076923076923077</x:v>
      </x:c>
      <x:c r="L9" s="36" t="n">
        <x:f>IF(AND(B9=0,A9&gt;Inputs!$C$9),MIN(Inputs!$C$19*C9,N8),0)</x:f>
        <x:v>0</x:v>
      </x:c>
      <x:c r="M9" s="37" t="n">
        <x:f t="shared" si="3">M8+F9+H9+I9-J9-K9-L9</x:f>
        <x:v>33500.769230769234</x:v>
      </x:c>
      <x:c r="N9" s="36" t="n">
        <x:f t="shared" si="4">N8+I9-L9</x:f>
        <x:v>15000</x:v>
      </x:c>
      <x:c r="O9" s="36" t="n">
        <x:f>Inputs!$C$11</x:f>
        <x:v>10000</x:v>
      </x:c>
      <x:c r="P9" s="32"/>
      <x:c r="Q9" s="33" t="str">
        <x:v>Remaining shortfall after modelled flows</x:v>
      </x:c>
      <x:c r="R9" s="38" t="n">
        <x:f>MAX(0,Inputs!$C$11-MIN(Inputs!$C$4,M5:M17))</x:f>
        <x:v>0</x:v>
      </x:c>
    </x:row>
    <x:row r="10" ht="32" customHeight="1">
      <x:c r="A10" s="35">
        <x:v>6.0</x:v>
      </x:c>
      <x:c r="B10" s="35" t="n">
        <x:f>IF(AND(A10&gt;=Inputs!$C$9,A10&lt;Inputs!$C$9+Inputs!$C$10),1,0)</x:f>
        <x:v>1</x:v>
      </x:c>
      <x:c r="C10" s="36" t="n">
        <x:f>IF(B10=1,Inputs!$C$8,Inputs!$C$5)</x:f>
        <x:v>1000</x:v>
      </x:c>
      <x:c r="D10" s="36" t="n">
        <x:f>C10*Inputs!$C$7</x:f>
        <x:v>270</x:v>
      </x:c>
      <x:c r="E10" s="36" t="n">
        <x:f>Inputs!$C$6</x:f>
        <x:v>6300</x:v>
      </x:c>
      <x:c r="F10" s="36" t="n">
        <x:f t="shared" si="1">C10-D10-E10</x:f>
        <x:v>-5570</x:v>
      </x:c>
      <x:c r="G10" s="37" t="n">
        <x:f t="shared" si="2">G9+F10</x:f>
        <x:v>-6850</x:v>
      </x:c>
      <x:c r="H10" s="36" t="n">
        <x:f>IF(A10=Inputs!$C$13,Inputs!$C$12,0)</x:f>
        <x:v>0</x:v>
      </x:c>
      <x:c r="I10" s="36" t="n">
        <x:f>IF(A10=Inputs!$C$9,$R$8,0)</x:f>
        <x:v>0</x:v>
      </x:c>
      <x:c r="J10" s="36" t="n">
        <x:f>I10*Inputs!$C$18</x:f>
        <x:v>0</x:v>
      </x:c>
      <x:c r="K10" s="36" t="n">
        <x:f>N9*Inputs!$C$17/52</x:f>
        <x:v>23.076923076923077</x:v>
      </x:c>
      <x:c r="L10" s="36" t="n">
        <x:f>IF(AND(B10=0,A10&gt;Inputs!$C$9),MIN(Inputs!$C$19*C10,N9),0)</x:f>
        <x:v>0</x:v>
      </x:c>
      <x:c r="M10" s="37" t="n">
        <x:f t="shared" si="3">M9+F10+H10+I10-J10-K10-L10</x:f>
        <x:v>27907.692307692312</x:v>
      </x:c>
      <x:c r="N10" s="36" t="n">
        <x:f t="shared" si="4">N9+I10-L10</x:f>
        <x:v>15000</x:v>
      </x:c>
      <x:c r="O10" s="36" t="n">
        <x:f>Inputs!$C$11</x:f>
        <x:v>10000</x:v>
      </x:c>
      <x:c r="P10" s="32"/>
      <x:c r="Q10" s="32"/>
      <x:c r="R10" s="32"/>
    </x:row>
    <x:row r="11" ht="32" customHeight="1">
      <x:c r="A11" s="35">
        <x:v>7.0</x:v>
      </x:c>
      <x:c r="B11" s="35" t="n">
        <x:f>IF(AND(A11&gt;=Inputs!$C$9,A11&lt;Inputs!$C$9+Inputs!$C$10),1,0)</x:f>
        <x:v>1</x:v>
      </x:c>
      <x:c r="C11" s="36" t="n">
        <x:f>IF(B11=1,Inputs!$C$8,Inputs!$C$5)</x:f>
        <x:v>1000</x:v>
      </x:c>
      <x:c r="D11" s="36" t="n">
        <x:f>C11*Inputs!$C$7</x:f>
        <x:v>270</x:v>
      </x:c>
      <x:c r="E11" s="36" t="n">
        <x:f>Inputs!$C$6</x:f>
        <x:v>6300</x:v>
      </x:c>
      <x:c r="F11" s="36" t="n">
        <x:f t="shared" si="1">C11-D11-E11</x:f>
        <x:v>-5570</x:v>
      </x:c>
      <x:c r="G11" s="37" t="n">
        <x:f t="shared" si="2">G10+F11</x:f>
        <x:v>-12420</x:v>
      </x:c>
      <x:c r="H11" s="36" t="n">
        <x:f>IF(A11=Inputs!$C$13,Inputs!$C$12,0)</x:f>
        <x:v>0</x:v>
      </x:c>
      <x:c r="I11" s="36" t="n">
        <x:f>IF(A11=Inputs!$C$9,$R$8,0)</x:f>
        <x:v>0</x:v>
      </x:c>
      <x:c r="J11" s="36" t="n">
        <x:f>I11*Inputs!$C$18</x:f>
        <x:v>0</x:v>
      </x:c>
      <x:c r="K11" s="36" t="n">
        <x:f>N10*Inputs!$C$17/52</x:f>
        <x:v>23.076923076923077</x:v>
      </x:c>
      <x:c r="L11" s="36" t="n">
        <x:f>IF(AND(B11=0,A11&gt;Inputs!$C$9),MIN(Inputs!$C$19*C11,N10),0)</x:f>
        <x:v>0</x:v>
      </x:c>
      <x:c r="M11" s="37" t="n">
        <x:f t="shared" si="3">M10+F11+H11+I11-J11-K11-L11</x:f>
        <x:v>22314.61538461539</x:v>
      </x:c>
      <x:c r="N11" s="36" t="n">
        <x:f t="shared" si="4">N10+I11-L11</x:f>
        <x:v>15000</x:v>
      </x:c>
      <x:c r="O11" s="36" t="n">
        <x:f>Inputs!$C$11</x:f>
        <x:v>10000</x:v>
      </x:c>
      <x:c r="P11" s="32"/>
      <x:c r="Q11" s="32"/>
      <x:c r="R11" s="32"/>
    </x:row>
    <x:row r="12" ht="32" customHeight="1">
      <x:c r="A12" s="35">
        <x:v>8.0</x:v>
      </x:c>
      <x:c r="B12" s="35" t="n">
        <x:f>IF(AND(A12&gt;=Inputs!$C$9,A12&lt;Inputs!$C$9+Inputs!$C$10),1,0)</x:f>
        <x:v>0</x:v>
      </x:c>
      <x:c r="C12" s="36" t="n">
        <x:f>IF(B12=1,Inputs!$C$8,Inputs!$C$5)</x:f>
        <x:v>10000</x:v>
      </x:c>
      <x:c r="D12" s="36" t="n">
        <x:f>C12*Inputs!$C$7</x:f>
        <x:v>2700</x:v>
      </x:c>
      <x:c r="E12" s="36" t="n">
        <x:f>Inputs!$C$6</x:f>
        <x:v>6300</x:v>
      </x:c>
      <x:c r="F12" s="36" t="n">
        <x:f t="shared" si="1">C12-D12-E12</x:f>
        <x:v>1000</x:v>
      </x:c>
      <x:c r="G12" s="37" t="n">
        <x:f t="shared" si="2">G11+F12</x:f>
        <x:v>-11420</x:v>
      </x:c>
      <x:c r="H12" s="36" t="n">
        <x:f>IF(A12=Inputs!$C$13,Inputs!$C$12,0)</x:f>
        <x:v>0</x:v>
      </x:c>
      <x:c r="I12" s="36" t="n">
        <x:f>IF(A12=Inputs!$C$9,$R$8,0)</x:f>
        <x:v>0</x:v>
      </x:c>
      <x:c r="J12" s="36" t="n">
        <x:f>I12*Inputs!$C$18</x:f>
        <x:v>0</x:v>
      </x:c>
      <x:c r="K12" s="36" t="n">
        <x:f>N11*Inputs!$C$17/52</x:f>
        <x:v>23.076923076923077</x:v>
      </x:c>
      <x:c r="L12" s="36" t="n">
        <x:f>IF(AND(B12=0,A12&gt;Inputs!$C$9),MIN(Inputs!$C$19*C12,N11),0)</x:f>
        <x:v>1000</x:v>
      </x:c>
      <x:c r="M12" s="37" t="n">
        <x:f t="shared" si="3">M11+F12+H12+I12-J12-K12-L12</x:f>
        <x:v>22291.53846153847</x:v>
      </x:c>
      <x:c r="N12" s="36" t="n">
        <x:f t="shared" si="4">N11+I12-L12</x:f>
        <x:v>14000</x:v>
      </x:c>
      <x:c r="O12" s="36" t="n">
        <x:f>Inputs!$C$11</x:f>
        <x:v>10000</x:v>
      </x:c>
      <x:c r="P12" s="32"/>
      <x:c r="Q12" s="32"/>
      <x:c r="R12" s="32"/>
    </x:row>
    <x:row r="13" ht="32" customHeight="1">
      <x:c r="A13" s="35">
        <x:v>9.0</x:v>
      </x:c>
      <x:c r="B13" s="35" t="n">
        <x:f>IF(AND(A13&gt;=Inputs!$C$9,A13&lt;Inputs!$C$9+Inputs!$C$10),1,0)</x:f>
        <x:v>0</x:v>
      </x:c>
      <x:c r="C13" s="36" t="n">
        <x:f>IF(B13=1,Inputs!$C$8,Inputs!$C$5)</x:f>
        <x:v>10000</x:v>
      </x:c>
      <x:c r="D13" s="36" t="n">
        <x:f>C13*Inputs!$C$7</x:f>
        <x:v>2700</x:v>
      </x:c>
      <x:c r="E13" s="36" t="n">
        <x:f>Inputs!$C$6</x:f>
        <x:v>6300</x:v>
      </x:c>
      <x:c r="F13" s="36" t="n">
        <x:f t="shared" si="1">C13-D13-E13</x:f>
        <x:v>1000</x:v>
      </x:c>
      <x:c r="G13" s="37" t="n">
        <x:f t="shared" si="2">G12+F13</x:f>
        <x:v>-10420</x:v>
      </x:c>
      <x:c r="H13" s="36" t="n">
        <x:f>IF(A13=Inputs!$C$13,Inputs!$C$12,0)</x:f>
        <x:v>0</x:v>
      </x:c>
      <x:c r="I13" s="36" t="n">
        <x:f>IF(A13=Inputs!$C$9,$R$8,0)</x:f>
        <x:v>0</x:v>
      </x:c>
      <x:c r="J13" s="36" t="n">
        <x:f>I13*Inputs!$C$18</x:f>
        <x:v>0</x:v>
      </x:c>
      <x:c r="K13" s="36" t="n">
        <x:f>N12*Inputs!$C$17/52</x:f>
        <x:v>21.53846153846154</x:v>
      </x:c>
      <x:c r="L13" s="36" t="n">
        <x:f>IF(AND(B13=0,A13&gt;Inputs!$C$9),MIN(Inputs!$C$19*C13,N12),0)</x:f>
        <x:v>1000</x:v>
      </x:c>
      <x:c r="M13" s="37" t="n">
        <x:f t="shared" si="3">M12+F13+H13+I13-J13-K13-L13</x:f>
        <x:v>22270.000000000007</x:v>
      </x:c>
      <x:c r="N13" s="36" t="n">
        <x:f t="shared" si="4">N12+I13-L13</x:f>
        <x:v>13000</x:v>
      </x:c>
      <x:c r="O13" s="36" t="n">
        <x:f>Inputs!$C$11</x:f>
        <x:v>10000</x:v>
      </x:c>
      <x:c r="P13" s="32"/>
      <x:c r="Q13" s="32"/>
      <x:c r="R13" s="32"/>
    </x:row>
    <x:row r="14" ht="32" customHeight="1">
      <x:c r="A14" s="35">
        <x:v>10.0</x:v>
      </x:c>
      <x:c r="B14" s="35" t="n">
        <x:f>IF(AND(A14&gt;=Inputs!$C$9,A14&lt;Inputs!$C$9+Inputs!$C$10),1,0)</x:f>
        <x:v>0</x:v>
      </x:c>
      <x:c r="C14" s="36" t="n">
        <x:f>IF(B14=1,Inputs!$C$8,Inputs!$C$5)</x:f>
        <x:v>10000</x:v>
      </x:c>
      <x:c r="D14" s="36" t="n">
        <x:f>C14*Inputs!$C$7</x:f>
        <x:v>2700</x:v>
      </x:c>
      <x:c r="E14" s="36" t="n">
        <x:f>Inputs!$C$6</x:f>
        <x:v>6300</x:v>
      </x:c>
      <x:c r="F14" s="36" t="n">
        <x:f t="shared" si="1">C14-D14-E14</x:f>
        <x:v>1000</x:v>
      </x:c>
      <x:c r="G14" s="37" t="n">
        <x:f t="shared" si="2">G13+F14</x:f>
        <x:v>-9420</x:v>
      </x:c>
      <x:c r="H14" s="36" t="n">
        <x:f>IF(A14=Inputs!$C$13,Inputs!$C$12,0)</x:f>
        <x:v>0</x:v>
      </x:c>
      <x:c r="I14" s="36" t="n">
        <x:f>IF(A14=Inputs!$C$9,$R$8,0)</x:f>
        <x:v>0</x:v>
      </x:c>
      <x:c r="J14" s="36" t="n">
        <x:f>I14*Inputs!$C$18</x:f>
        <x:v>0</x:v>
      </x:c>
      <x:c r="K14" s="36" t="n">
        <x:f>N13*Inputs!$C$17/52</x:f>
        <x:v>20</x:v>
      </x:c>
      <x:c r="L14" s="36" t="n">
        <x:f>IF(AND(B14=0,A14&gt;Inputs!$C$9),MIN(Inputs!$C$19*C14,N13),0)</x:f>
        <x:v>1000</x:v>
      </x:c>
      <x:c r="M14" s="37" t="n">
        <x:f t="shared" si="3">M13+F14+H14+I14-J14-K14-L14</x:f>
        <x:v>22250.000000000007</x:v>
      </x:c>
      <x:c r="N14" s="36" t="n">
        <x:f t="shared" si="4">N13+I14-L14</x:f>
        <x:v>12000</x:v>
      </x:c>
      <x:c r="O14" s="36" t="n">
        <x:f>Inputs!$C$11</x:f>
        <x:v>10000</x:v>
      </x:c>
      <x:c r="P14" s="32"/>
      <x:c r="Q14" s="32"/>
      <x:c r="R14" s="32"/>
    </x:row>
    <x:row r="15" ht="32" customHeight="1">
      <x:c r="A15" s="35">
        <x:v>11.0</x:v>
      </x:c>
      <x:c r="B15" s="35" t="n">
        <x:f>IF(AND(A15&gt;=Inputs!$C$9,A15&lt;Inputs!$C$9+Inputs!$C$10),1,0)</x:f>
        <x:v>0</x:v>
      </x:c>
      <x:c r="C15" s="36" t="n">
        <x:f>IF(B15=1,Inputs!$C$8,Inputs!$C$5)</x:f>
        <x:v>10000</x:v>
      </x:c>
      <x:c r="D15" s="36" t="n">
        <x:f>C15*Inputs!$C$7</x:f>
        <x:v>2700</x:v>
      </x:c>
      <x:c r="E15" s="36" t="n">
        <x:f>Inputs!$C$6</x:f>
        <x:v>6300</x:v>
      </x:c>
      <x:c r="F15" s="36" t="n">
        <x:f t="shared" si="1">C15-D15-E15</x:f>
        <x:v>1000</x:v>
      </x:c>
      <x:c r="G15" s="37" t="n">
        <x:f t="shared" si="2">G14+F15</x:f>
        <x:v>-8420</x:v>
      </x:c>
      <x:c r="H15" s="36" t="n">
        <x:f>IF(A15=Inputs!$C$13,Inputs!$C$12,0)</x:f>
        <x:v>0</x:v>
      </x:c>
      <x:c r="I15" s="36" t="n">
        <x:f>IF(A15=Inputs!$C$9,$R$8,0)</x:f>
        <x:v>0</x:v>
      </x:c>
      <x:c r="J15" s="36" t="n">
        <x:f>I15*Inputs!$C$18</x:f>
        <x:v>0</x:v>
      </x:c>
      <x:c r="K15" s="36" t="n">
        <x:f>N14*Inputs!$C$17/52</x:f>
        <x:v>18.46153846153846</x:v>
      </x:c>
      <x:c r="L15" s="36" t="n">
        <x:f>IF(AND(B15=0,A15&gt;Inputs!$C$9),MIN(Inputs!$C$19*C15,N14),0)</x:f>
        <x:v>1000</x:v>
      </x:c>
      <x:c r="M15" s="37" t="n">
        <x:f t="shared" si="3">M14+F15+H15+I15-J15-K15-L15</x:f>
        <x:v>22231.53846153847</x:v>
      </x:c>
      <x:c r="N15" s="36" t="n">
        <x:f t="shared" si="4">N14+I15-L15</x:f>
        <x:v>11000</x:v>
      </x:c>
      <x:c r="O15" s="36" t="n">
        <x:f>Inputs!$C$11</x:f>
        <x:v>10000</x:v>
      </x:c>
      <x:c r="P15" s="32"/>
      <x:c r="Q15" s="32"/>
      <x:c r="R15" s="32"/>
    </x:row>
    <x:row r="16" ht="32" customHeight="1">
      <x:c r="A16" s="35">
        <x:v>12.0</x:v>
      </x:c>
      <x:c r="B16" s="35" t="n">
        <x:f>IF(AND(A16&gt;=Inputs!$C$9,A16&lt;Inputs!$C$9+Inputs!$C$10),1,0)</x:f>
        <x:v>0</x:v>
      </x:c>
      <x:c r="C16" s="36" t="n">
        <x:f>IF(B16=1,Inputs!$C$8,Inputs!$C$5)</x:f>
        <x:v>10000</x:v>
      </x:c>
      <x:c r="D16" s="36" t="n">
        <x:f>C16*Inputs!$C$7</x:f>
        <x:v>2700</x:v>
      </x:c>
      <x:c r="E16" s="36" t="n">
        <x:f>Inputs!$C$6</x:f>
        <x:v>6300</x:v>
      </x:c>
      <x:c r="F16" s="36" t="n">
        <x:f t="shared" si="1">C16-D16-E16</x:f>
        <x:v>1000</x:v>
      </x:c>
      <x:c r="G16" s="37" t="n">
        <x:f t="shared" si="2">G15+F16</x:f>
        <x:v>-7420</x:v>
      </x:c>
      <x:c r="H16" s="36" t="n">
        <x:f>IF(A16=Inputs!$C$13,Inputs!$C$12,0)</x:f>
        <x:v>0</x:v>
      </x:c>
      <x:c r="I16" s="36" t="n">
        <x:f>IF(A16=Inputs!$C$9,$R$8,0)</x:f>
        <x:v>0</x:v>
      </x:c>
      <x:c r="J16" s="36" t="n">
        <x:f>I16*Inputs!$C$18</x:f>
        <x:v>0</x:v>
      </x:c>
      <x:c r="K16" s="36" t="n">
        <x:f>N15*Inputs!$C$17/52</x:f>
        <x:v>16.923076923076923</x:v>
      </x:c>
      <x:c r="L16" s="36" t="n">
        <x:f>IF(AND(B16=0,A16&gt;Inputs!$C$9),MIN(Inputs!$C$19*C16,N15),0)</x:f>
        <x:v>1000</x:v>
      </x:c>
      <x:c r="M16" s="37" t="n">
        <x:f t="shared" si="3">M15+F16+H16+I16-J16-K16-L16</x:f>
        <x:v>22214.61538461539</x:v>
      </x:c>
      <x:c r="N16" s="36" t="n">
        <x:f t="shared" si="4">N15+I16-L16</x:f>
        <x:v>10000</x:v>
      </x:c>
      <x:c r="O16" s="36" t="n">
        <x:f>Inputs!$C$11</x:f>
        <x:v>10000</x:v>
      </x:c>
      <x:c r="P16" s="32"/>
      <x:c r="Q16" s="32"/>
      <x:c r="R16" s="32"/>
    </x:row>
    <x:row r="17" ht="32" customHeight="1">
      <x:c r="A17" s="35">
        <x:v>13.0</x:v>
      </x:c>
      <x:c r="B17" s="35" t="n">
        <x:f>IF(AND(A17&gt;=Inputs!$C$9,A17&lt;Inputs!$C$9+Inputs!$C$10),1,0)</x:f>
        <x:v>0</x:v>
      </x:c>
      <x:c r="C17" s="36" t="n">
        <x:f>IF(B17=1,Inputs!$C$8,Inputs!$C$5)</x:f>
        <x:v>10000</x:v>
      </x:c>
      <x:c r="D17" s="36" t="n">
        <x:f>C17*Inputs!$C$7</x:f>
        <x:v>2700</x:v>
      </x:c>
      <x:c r="E17" s="36" t="n">
        <x:f>Inputs!$C$6</x:f>
        <x:v>6300</x:v>
      </x:c>
      <x:c r="F17" s="36" t="n">
        <x:f t="shared" si="1">C17-D17-E17</x:f>
        <x:v>1000</x:v>
      </x:c>
      <x:c r="G17" s="37" t="n">
        <x:f t="shared" si="2">G16+F17</x:f>
        <x:v>-6420</x:v>
      </x:c>
      <x:c r="H17" s="36" t="n">
        <x:f>IF(A17=Inputs!$C$13,Inputs!$C$12,0)</x:f>
        <x:v>0</x:v>
      </x:c>
      <x:c r="I17" s="36" t="n">
        <x:f>IF(A17=Inputs!$C$9,$R$8,0)</x:f>
        <x:v>0</x:v>
      </x:c>
      <x:c r="J17" s="36" t="n">
        <x:f>I17*Inputs!$C$18</x:f>
        <x:v>0</x:v>
      </x:c>
      <x:c r="K17" s="36" t="n">
        <x:f>N16*Inputs!$C$17/52</x:f>
        <x:v>15.384615384615385</x:v>
      </x:c>
      <x:c r="L17" s="36" t="n">
        <x:f>IF(AND(B17=0,A17&gt;Inputs!$C$9),MIN(Inputs!$C$19*C17,N16),0)</x:f>
        <x:v>1000</x:v>
      </x:c>
      <x:c r="M17" s="37" t="n">
        <x:f t="shared" si="3">M16+F17+H17+I17-J17-K17-L17</x:f>
        <x:v>22199.230769230773</x:v>
      </x:c>
      <x:c r="N17" s="36" t="n">
        <x:f t="shared" si="4">N16+I17-L17</x:f>
        <x:v>9000</x:v>
      </x:c>
      <x:c r="O17" s="36" t="n">
        <x:f>Inputs!$C$11</x:f>
        <x:v>10000</x:v>
      </x:c>
      <x:c r="P17" s="32"/>
      <x:c r="Q17" s="32"/>
      <x:c r="R17" s="32"/>
    </x:row>
    <x:row r="19" ht="40" customHeight="1">
      <x:c r="A19" s="28" t="str">
        <x:v>Weekly model only. Negative cash means unmet funding. The remaining shortfall includes opening cash; sizing retains the pre-cost timing limitation.</x:v>
      </x:c>
    </x:row>
    <x:row r="21" ht="15.75" customHeight="1"/>
    <x:row r="22" ht="15.75" customHeight="1"/>
    <x:row r="23" ht="15.75" customHeight="1"/>
    <x:row r="24" ht="15.75" customHeight="1"/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7" right="0.7" top="0.75" bottom="0.75" header="0.3" footer="0.3"/>
</x:worksheet>
</file>