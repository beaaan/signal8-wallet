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Summary" sheetId="2" r:id="rId6"/>
    <sheet state="visible" name="Inputs" sheetId="3" r:id="rId7"/>
    <sheet state="visible" name="Forecast_A" sheetId="4" r:id="rId8"/>
    <sheet state="visible" name="Forecast_B" sheetId="5" r:id="rId9"/>
  </sheets>
  <definedNames/>
  <calcPr/>
</workbook>
</file>

<file path=xl/sharedStrings.xml><?xml version="1.0" encoding="utf-8"?>
<sst xmlns="http://schemas.openxmlformats.org/spreadsheetml/2006/main" count="145" uniqueCount="105">
  <si>
    <t>Signal 8 Wallet: 13-week cash-flow forecast, Mrs Chan's dim sum shop through Typhoon Ragasa</t>
  </si>
  <si>
    <t>Assumptions (blue = input, yellow = key assumption)</t>
  </si>
  <si>
    <t>Card: 'Cash-flow forecast for the Ragasa storm' (FinTechathon 2026). Units: MockUSD (treated as USD).</t>
  </si>
  <si>
    <t>How to use</t>
  </si>
  <si>
    <t>1. Change only BLUE cells on the Inputs sheet (yellow = key assumptions to defend). Everything else is formula.</t>
  </si>
  <si>
    <t>Assumption</t>
  </si>
  <si>
    <t>2. Scenario A = the agent's current FORECAST assumptions (agent/src/loops/storm.ts) as written on the Notion card.</t>
  </si>
  <si>
    <t>3. Scenario B = recommended: splits costs into fixed (wages, rent) and variable (food), and adds a safety margin to the credit draw.</t>
  </si>
  <si>
    <t>Forecast_A: weekly cash, scenario A (agent today)</t>
  </si>
  <si>
    <t>4. Forecast_A / Forecast_B: week-by-week cash, without the wallet and with it (cover payout + credit draw + 10% sweep).</t>
  </si>
  <si>
    <t>5. Summary: side-by-side results and the chart for the deck.</t>
  </si>
  <si>
    <t>Credit draw rule modelled (what the agent should do at Signal 8):</t>
  </si>
  <si>
    <t>draw = MIN(cap, MAX(0, buffer - (lowest projected cash without wallet + cover payout)) + safety margin weeks x weekly fixed cost)</t>
  </si>
  <si>
    <t>Interest is paid weekly in cash; the 10% sweep of customer payments repays principal and is paused during storm weeks.</t>
  </si>
  <si>
    <t>A: Agent today</t>
  </si>
  <si>
    <t>Week</t>
  </si>
  <si>
    <t>B: Recommended</t>
  </si>
  <si>
    <t>Sources for benchmark numbers</t>
  </si>
  <si>
    <t>Unit</t>
  </si>
  <si>
    <t>Cash buffer: JPMorgan Chase Institute, 'Cash is King: Flows, Balances, and Buffer Days' (2016): median small business 27 buffer days, median small restaurant 16 days.</t>
  </si>
  <si>
    <t>Note / source</t>
  </si>
  <si>
    <t xml:space="preserve">  NOTE: the pitch outline credits the 27-day figure to the NY Fed. The source is the JPMorgan Chase Institute.</t>
  </si>
  <si>
    <t>Starting cash 20,000 = 15.6 days of 9,000/week outflows, i.e. roughly the median restaurant buffer (16 days). This is OUR assumption: replace with the value in storm.ts if it differs.</t>
  </si>
  <si>
    <t>Starting cash</t>
  </si>
  <si>
    <t>Signal 8+ frequency ~1.4 per year (51 events 1980-2016), average duration ~13 hours: Swiss Re Corporate Solutions, Insur8 product page.</t>
  </si>
  <si>
    <t>Food cost 27% of sales in Scenario B: typical full-service restaurant range is roughly 25-35%; flagged as an assumption to confirm.</t>
  </si>
  <si>
    <t>Storm week?</t>
  </si>
  <si>
    <t>Interest 8% p.a.: assumption for an unsecured SME revolving line in HKD (HKMC SFGS caps overall rate at ~10% p.a.). Check current HKD Prime before the pitch.</t>
  </si>
  <si>
    <t>Receipts</t>
  </si>
  <si>
    <t>Variable cost</t>
  </si>
  <si>
    <t>Fixed cost</t>
  </si>
  <si>
    <t>Net operating flow</t>
  </si>
  <si>
    <t>$</t>
  </si>
  <si>
    <t>Our assumption: ~16 buffer days, the JPMorgan Chase Institute median for small restaurants</t>
  </si>
  <si>
    <t>NO WALLET closing cash</t>
  </si>
  <si>
    <t>Weekly customer receipts (normal)</t>
  </si>
  <si>
    <t>Cover payout</t>
  </si>
  <si>
    <t>Credit draw</t>
  </si>
  <si>
    <t>Arrangement fee</t>
  </si>
  <si>
    <t>Interest paid</t>
  </si>
  <si>
    <t>$/wk</t>
  </si>
  <si>
    <t>From storm.ts FORECAST (Notion card)</t>
  </si>
  <si>
    <t>Sweep repayment</t>
  </si>
  <si>
    <t>Weekly fixed costs (wages, rent, utilities)</t>
  </si>
  <si>
    <t>A: all 9,000 treated as fixed. B: wages ~4,500 + rent/utilities ~1,800</t>
  </si>
  <si>
    <t>Variable cost (food, packaging) % of receipts</t>
  </si>
  <si>
    <t>%</t>
  </si>
  <si>
    <t>A: none. B: food cost ~27% of sales (assumption, typical 25-35%)</t>
  </si>
  <si>
    <t>Weekly receipts in disrupted weeks</t>
  </si>
  <si>
    <t>WITH WALLET closing cash</t>
  </si>
  <si>
    <t>Loan balance (end)</t>
  </si>
  <si>
    <t>From storm.ts FORECAST</t>
  </si>
  <si>
    <t>Storm starts in week</t>
  </si>
  <si>
    <t>Buffer floor</t>
  </si>
  <si>
    <t>Credit draw sizing</t>
  </si>
  <si>
    <t>Lowest cash without wallet</t>
  </si>
  <si>
    <t>week #</t>
  </si>
  <si>
    <t>Signal 8 raised; Ragasa replay</t>
  </si>
  <si>
    <t>Disrupted weeks</t>
  </si>
  <si>
    <t>weeks</t>
  </si>
  <si>
    <t>Cash buffer floor</t>
  </si>
  <si>
    <t>From storm.ts FORECAST: never below 10,000</t>
  </si>
  <si>
    <t>Typhoon cover payout</t>
  </si>
  <si>
    <t>Replay payout, paid same week as signal</t>
  </si>
  <si>
    <t>Cover paid in week</t>
  </si>
  <si>
    <t>Parametric: pays on the signal, no loss adjuster</t>
  </si>
  <si>
    <t>Credit line: max draw per storm without approval</t>
  </si>
  <si>
    <t>data/fixtures/loan.txt</t>
  </si>
  <si>
    <t>Credit line: total limit</t>
  </si>
  <si>
    <t>Safety margin (weeks of fixed cost) added to draw</t>
  </si>
  <si>
    <t>A: none. B: headroom because the forecast can be wrong</t>
  </si>
  <si>
    <t>Interest rate</t>
  </si>
  <si>
    <t>% p.a.</t>
  </si>
  <si>
    <t>Assumption; check HKD Prime. HKMC SFGS overall cap ~10% p.a.</t>
  </si>
  <si>
    <t>Arrangement fee on each draw</t>
  </si>
  <si>
    <t>% of draw</t>
  </si>
  <si>
    <t>Sweep of customer receipts to repay</t>
  </si>
  <si>
    <t>loan.txt: 10%, paused in a storm</t>
  </si>
  <si>
    <t>Forecast_B: weekly cash, scenario B (recommended)</t>
  </si>
  <si>
    <t>Gap to buffer after cover</t>
  </si>
  <si>
    <t>Summary: does 20,000 cover + 15,000 credit keep Mrs Chan above the 10,000 floor?</t>
  </si>
  <si>
    <t>Metric</t>
  </si>
  <si>
    <t>Reading</t>
  </si>
  <si>
    <t>Lowest cash WITHOUT wallet</t>
  </si>
  <si>
    <t>Negative = shop cannot pay staff/suppliers</t>
  </si>
  <si>
    <t>Weeks below zero WITHOUT wallet</t>
  </si>
  <si>
    <t>Credit draw at Signal 8</t>
  </si>
  <si>
    <t>Capped at 15,000 without owner approval</t>
  </si>
  <si>
    <t>Unfunded gap vs buffer</t>
  </si>
  <si>
    <t>&gt; 0 means the replay numbers are NOT enough</t>
  </si>
  <si>
    <t>Lowest cash WITH wallet</t>
  </si>
  <si>
    <t>Should be &gt;= buffer floor</t>
  </si>
  <si>
    <t>Weeks below buffer WITH wallet</t>
  </si>
  <si>
    <t>Plus safety margin</t>
  </si>
  <si>
    <t>Interest + fees over 13 weeks</t>
  </si>
  <si>
    <t>Cost of the emergency credit</t>
  </si>
  <si>
    <t>Loan still owed at week 13</t>
  </si>
  <si>
    <t>Repaid by the 10% sweep after the storm</t>
  </si>
  <si>
    <t>Cash at week 13 WITH wallet</t>
  </si>
  <si>
    <t>Chart data (Scenario B): shop cash through Ragasa</t>
  </si>
  <si>
    <t>Without Signal 8 Wallet</t>
  </si>
  <si>
    <t>With Signal 8 Wallet</t>
  </si>
  <si>
    <t>Draw requested</t>
  </si>
  <si>
    <t>Draw allowed (cap)</t>
  </si>
  <si>
    <t>Green-filled check: with-wallet cash should stay at or above the buffer floor in every week.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</si>
</sst>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;\(#,##0\);\-"/>
    <numFmt numFmtId="165" formatCode="0.0%"/>
  </numFmts>
  <fonts count="6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Arial"/>
    </font>
    <font>
      <b/>
      <sz val="11.0"/>
      <color rgb="FFFFFFFF"/>
      <name val="Arial"/>
    </font>
    <font>
      <sz val="11.0"/>
      <color rgb="FF0000FF"/>
      <name val="Arial"/>
    </font>
    <font>
      <sz val="11.0"/>
      <color rgb="FF008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shrinkToFit="0" vertical="bottom" wrapText="0"/>
    </xf>
    <xf borderId="1" fillId="2" fontId="3" numFmtId="0" xfId="0" applyAlignment="1" applyBorder="1" applyFill="1" applyFont="1">
      <alignment shrinkToFit="0" vertical="center" wrapText="1"/>
    </xf>
    <xf borderId="2" fillId="3" fontId="4" numFmtId="164" xfId="0" applyAlignment="1" applyBorder="1" applyFill="1" applyFont="1" applyNumberFormat="1">
      <alignment shrinkToFit="0" vertical="bottom" wrapText="0"/>
    </xf>
    <xf borderId="2" fillId="0" fontId="4" numFmtId="164" xfId="0" applyAlignment="1" applyBorder="1" applyFont="1" applyNumberFormat="1">
      <alignment shrinkToFit="0" vertical="bottom" wrapText="0"/>
    </xf>
    <xf borderId="2" fillId="3" fontId="4" numFmtId="165" xfId="0" applyAlignment="1" applyBorder="1" applyFill="1" applyFont="1" applyNumberFormat="1">
      <alignment shrinkToFit="0" vertical="bottom" wrapText="0"/>
    </xf>
    <xf borderId="2" fillId="0" fontId="4" numFmtId="1" xfId="0" applyAlignment="1" applyBorder="1" applyFont="1" applyNumberFormat="1">
      <alignment shrinkToFit="0" vertical="bottom" wrapText="0"/>
    </xf>
    <xf borderId="2" fillId="3" fontId="4" numFmtId="1" xfId="0" applyAlignment="1" applyBorder="1" applyFill="1" applyFont="1" applyNumberFormat="1">
      <alignment shrinkToFit="0" vertical="bottom" wrapText="0"/>
    </xf>
    <xf borderId="2" fillId="0" fontId="4" numFmtId="165" xfId="0" applyAlignment="1" applyBorder="1" applyFont="1" applyNumberForma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2" numFmtId="164" xfId="0" applyAlignment="1" applyBorder="1" applyFont="1" applyNumberFormat="1">
      <alignment shrinkToFit="0" vertical="bottom" wrapText="0"/>
    </xf>
    <xf borderId="2" fillId="4" fontId="2" numFmtId="164" xfId="0" applyAlignment="1" applyBorder="1" applyFill="1" applyFont="1" applyNumberFormat="1">
      <alignment shrinkToFit="0" vertical="bottom" wrapText="0"/>
    </xf>
    <xf borderId="2" fillId="0" fontId="5" numFmtId="164" xfId="0" applyAlignment="1" applyBorder="1" applyFont="1" applyNumberFormat="1">
      <alignment shrinkToFit="0" vertical="bottom" wrapText="0"/>
    </xf>
    <xf borderId="2" fillId="0" fontId="5" numFmtId="1" xfId="0" applyAlignment="1" applyBorder="1" applyFont="1" applyNumberFormat="1">
      <alignment shrinkToFit="0" vertical="bottom" wrapText="0"/>
    </xf>
    <xf borderId="0" fillId="0" fontId="5" numFmtId="164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Mrs Chan's cash through Typhoon Ragasa</a:t>
            </a:r>
          </a:p>
        </c:rich>
      </c:tx>
      <c:overlay val="0"/>
    </c:title>
    <c:plotArea>
      <c:layout/>
      <c:lineChart>
        <c:ser>
          <c:idx val="0"/>
          <c:order val="0"/>
          <c:tx>
            <c:v>Without Signal 8 Wallet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Summary!$A$17:$A$29</c:f>
            </c:strRef>
          </c:cat>
          <c:val>
            <c:numRef>
              <c:f>Summary!$B$17:$B$29</c:f>
              <c:numCache/>
            </c:numRef>
          </c:val>
          <c:smooth val="1"/>
        </c:ser>
        <c:ser>
          <c:idx val="1"/>
          <c:order val="1"/>
          <c:tx>
            <c:v>With Signal 8 Wallet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Summary!$A$17:$A$29</c:f>
            </c:strRef>
          </c:cat>
          <c:val>
            <c:numRef>
              <c:f>Summary!$C$17:$C$29</c:f>
              <c:numCache/>
            </c:numRef>
          </c:val>
          <c:smooth val="1"/>
        </c:ser>
        <c:ser>
          <c:idx val="2"/>
          <c:order val="2"/>
          <c:tx>
            <c:v>Buffer floor</c:v>
          </c:tx>
          <c:spPr>
            <a:ln cmpd="sng" w="19050">
              <a:solidFill>
                <a:srgbClr val="98B85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Summary!$A$17:$A$29</c:f>
            </c:strRef>
          </c:cat>
          <c:val>
            <c:numRef>
              <c:f>Summary!$D$17:$D$29</c:f>
              <c:numCache/>
            </c:numRef>
          </c:val>
          <c:smooth val="1"/>
        </c:ser>
        <c:axId val="1108499833"/>
        <c:axId val="1257762945"/>
      </c:lineChart>
      <c:catAx>
        <c:axId val="1108499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Week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57762945"/>
      </c:catAx>
      <c:valAx>
        <c:axId val="12577629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Cash (MockUSD)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0849983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</xdr:row>
      <xdr:rowOff>0</xdr:rowOff>
    </xdr:from>
    <xdr:ext cx="6172200" cy="34004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0.0"/>
    <col customWidth="1" min="2" max="26" width="8.71"/>
  </cols>
  <sheetData>
    <row r="1">
      <c r="A1" s="1" t="s">
        <v>0</v>
      </c>
    </row>
    <row r="2">
      <c r="A2" s="2" t="s">
        <v>2</v>
      </c>
    </row>
    <row r="3">
      <c r="A3" s="2"/>
    </row>
    <row r="4">
      <c r="A4" s="1" t="s">
        <v>3</v>
      </c>
    </row>
    <row r="5">
      <c r="A5" s="2" t="s">
        <v>4</v>
      </c>
    </row>
    <row r="6">
      <c r="A6" s="2" t="s">
        <v>6</v>
      </c>
    </row>
    <row r="7">
      <c r="A7" s="2" t="s">
        <v>7</v>
      </c>
    </row>
    <row r="8">
      <c r="A8" s="2" t="s">
        <v>9</v>
      </c>
    </row>
    <row r="9">
      <c r="A9" s="2" t="s">
        <v>10</v>
      </c>
    </row>
    <row r="10">
      <c r="A10" s="2"/>
    </row>
    <row r="11">
      <c r="A11" s="1" t="s">
        <v>11</v>
      </c>
    </row>
    <row r="12">
      <c r="A12" s="2" t="s">
        <v>12</v>
      </c>
    </row>
    <row r="13">
      <c r="A13" s="2" t="s">
        <v>13</v>
      </c>
    </row>
    <row r="14">
      <c r="A14" s="2"/>
    </row>
    <row r="15">
      <c r="A15" s="1" t="s">
        <v>17</v>
      </c>
    </row>
    <row r="16">
      <c r="A16" s="2" t="s">
        <v>19</v>
      </c>
    </row>
    <row r="17">
      <c r="A17" s="2" t="s">
        <v>21</v>
      </c>
    </row>
    <row r="18">
      <c r="A18" s="2" t="s">
        <v>22</v>
      </c>
    </row>
    <row r="19">
      <c r="A19" s="2" t="s">
        <v>24</v>
      </c>
    </row>
    <row r="20">
      <c r="A20" s="2" t="s">
        <v>25</v>
      </c>
    </row>
    <row r="21" ht="15.75" customHeight="1">
      <c r="A21" s="2" t="s">
        <v>27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3" width="16.0"/>
    <col customWidth="1" min="4" max="4" width="50.0"/>
    <col customWidth="1" min="5" max="26" width="8.71"/>
  </cols>
  <sheetData>
    <row r="1">
      <c r="A1" s="1" t="s">
        <v>80</v>
      </c>
    </row>
    <row r="3">
      <c r="A3" s="3" t="s">
        <v>81</v>
      </c>
      <c r="B3" s="3" t="s">
        <v>14</v>
      </c>
      <c r="C3" s="3" t="s">
        <v>16</v>
      </c>
      <c r="D3" s="3" t="s">
        <v>82</v>
      </c>
    </row>
    <row r="4">
      <c r="A4" s="2" t="s">
        <v>83</v>
      </c>
      <c r="B4" s="15">
        <f>MIN(Forecast_A!G5:G17)</f>
        <v>-27000</v>
      </c>
      <c r="C4" s="15">
        <f>MIN(Forecast_B!G5:G17)</f>
        <v>-12420</v>
      </c>
      <c r="D4" s="2" t="s">
        <v>84</v>
      </c>
    </row>
    <row r="5">
      <c r="A5" s="2" t="s">
        <v>85</v>
      </c>
      <c r="B5" s="16">
        <f>COUNTIF(Forecast_A!G5:G17,"&lt;0")</f>
        <v>10</v>
      </c>
      <c r="C5" s="16">
        <f>COUNTIF(Forecast_B!G5:G17,"&lt;0")</f>
        <v>9</v>
      </c>
      <c r="D5" s="2"/>
    </row>
    <row r="6">
      <c r="A6" s="2" t="s">
        <v>86</v>
      </c>
      <c r="B6" s="15">
        <f>Forecast_A!R8</f>
        <v>15000</v>
      </c>
      <c r="C6" s="15">
        <f>Forecast_B!R8</f>
        <v>15000</v>
      </c>
      <c r="D6" s="2" t="s">
        <v>87</v>
      </c>
    </row>
    <row r="7">
      <c r="A7" s="2" t="s">
        <v>88</v>
      </c>
      <c r="B7" s="15">
        <f>Forecast_A!R9</f>
        <v>2000</v>
      </c>
      <c r="C7" s="15">
        <f>Forecast_B!R9</f>
        <v>0</v>
      </c>
      <c r="D7" s="2" t="s">
        <v>89</v>
      </c>
    </row>
    <row r="8">
      <c r="A8" s="2" t="s">
        <v>90</v>
      </c>
      <c r="B8" s="15">
        <f>MIN(Forecast_A!M5:M17)</f>
        <v>7619.230769</v>
      </c>
      <c r="C8" s="15">
        <f>MIN(Forecast_B!M5:M17)</f>
        <v>21000</v>
      </c>
      <c r="D8" s="2" t="s">
        <v>91</v>
      </c>
    </row>
    <row r="9">
      <c r="A9" s="2" t="s">
        <v>92</v>
      </c>
      <c r="B9" s="16">
        <f>COUNTIF(Forecast_A!M5:M17,"&lt;"&amp;Inputs!B11)</f>
        <v>7</v>
      </c>
      <c r="C9" s="16">
        <f>COUNTIF(Forecast_B!M5:M17,"&lt;"&amp;Inputs!C11)</f>
        <v>0</v>
      </c>
      <c r="D9" s="2"/>
    </row>
    <row r="10">
      <c r="A10" s="2" t="s">
        <v>94</v>
      </c>
      <c r="B10" s="15">
        <f>SUM(Forecast_A!J5:K17)</f>
        <v>380.7692308</v>
      </c>
      <c r="C10" s="15">
        <f>SUM(Forecast_B!J5:K17)</f>
        <v>380.7692308</v>
      </c>
      <c r="D10" s="2" t="s">
        <v>95</v>
      </c>
    </row>
    <row r="11">
      <c r="A11" s="2" t="s">
        <v>96</v>
      </c>
      <c r="B11" s="15">
        <f>Forecast_A!N17</f>
        <v>9000</v>
      </c>
      <c r="C11" s="15">
        <f>Forecast_B!N17</f>
        <v>9000</v>
      </c>
      <c r="D11" s="2" t="s">
        <v>97</v>
      </c>
    </row>
    <row r="12">
      <c r="A12" s="2" t="s">
        <v>98</v>
      </c>
      <c r="B12" s="15">
        <f>Forecast_A!M17</f>
        <v>7619.230769</v>
      </c>
      <c r="C12" s="15">
        <f>Forecast_B!M17</f>
        <v>22199.23077</v>
      </c>
      <c r="D12" s="2"/>
    </row>
    <row r="15">
      <c r="A15" s="1" t="s">
        <v>99</v>
      </c>
    </row>
    <row r="16">
      <c r="A16" s="3" t="s">
        <v>15</v>
      </c>
      <c r="B16" s="3" t="s">
        <v>100</v>
      </c>
      <c r="C16" s="3" t="s">
        <v>101</v>
      </c>
      <c r="D16" s="3" t="s">
        <v>53</v>
      </c>
    </row>
    <row r="17">
      <c r="A17" s="2">
        <v>1.0</v>
      </c>
      <c r="B17" s="17">
        <f>Forecast_B!G5</f>
        <v>21000</v>
      </c>
      <c r="C17" s="17">
        <f>Forecast_B!M5</f>
        <v>21000</v>
      </c>
      <c r="D17" s="17">
        <f>Forecast_B!O5</f>
        <v>10000</v>
      </c>
    </row>
    <row r="18">
      <c r="A18" s="2">
        <v>2.0</v>
      </c>
      <c r="B18" s="17">
        <f>Forecast_B!G6</f>
        <v>15430</v>
      </c>
      <c r="C18" s="17">
        <f>Forecast_B!M6</f>
        <v>50280</v>
      </c>
      <c r="D18" s="17">
        <f>Forecast_B!O6</f>
        <v>10000</v>
      </c>
    </row>
    <row r="19">
      <c r="A19" s="2">
        <v>3.0</v>
      </c>
      <c r="B19" s="17">
        <f>Forecast_B!G7</f>
        <v>9860</v>
      </c>
      <c r="C19" s="17">
        <f>Forecast_B!M7</f>
        <v>44686.92308</v>
      </c>
      <c r="D19" s="17">
        <f>Forecast_B!O7</f>
        <v>10000</v>
      </c>
    </row>
    <row r="20">
      <c r="A20" s="2">
        <v>4.0</v>
      </c>
      <c r="B20" s="17">
        <f>Forecast_B!G8</f>
        <v>4290</v>
      </c>
      <c r="C20" s="17">
        <f>Forecast_B!M8</f>
        <v>39093.84615</v>
      </c>
      <c r="D20" s="17">
        <f>Forecast_B!O8</f>
        <v>10000</v>
      </c>
    </row>
    <row r="21" ht="15.75" customHeight="1">
      <c r="A21" s="2">
        <v>5.0</v>
      </c>
      <c r="B21" s="17">
        <f>Forecast_B!G9</f>
        <v>-1280</v>
      </c>
      <c r="C21" s="17">
        <f>Forecast_B!M9</f>
        <v>33500.76923</v>
      </c>
      <c r="D21" s="17">
        <f>Forecast_B!O9</f>
        <v>10000</v>
      </c>
    </row>
    <row r="22" ht="15.75" customHeight="1">
      <c r="A22" s="2">
        <v>6.0</v>
      </c>
      <c r="B22" s="17">
        <f>Forecast_B!G10</f>
        <v>-6850</v>
      </c>
      <c r="C22" s="17">
        <f>Forecast_B!M10</f>
        <v>27907.69231</v>
      </c>
      <c r="D22" s="17">
        <f>Forecast_B!O10</f>
        <v>10000</v>
      </c>
    </row>
    <row r="23" ht="15.75" customHeight="1">
      <c r="A23" s="2">
        <v>7.0</v>
      </c>
      <c r="B23" s="17">
        <f>Forecast_B!G11</f>
        <v>-12420</v>
      </c>
      <c r="C23" s="17">
        <f>Forecast_B!M11</f>
        <v>22314.61538</v>
      </c>
      <c r="D23" s="17">
        <f>Forecast_B!O11</f>
        <v>10000</v>
      </c>
    </row>
    <row r="24" ht="15.75" customHeight="1">
      <c r="A24" s="2">
        <v>8.0</v>
      </c>
      <c r="B24" s="17">
        <f>Forecast_B!G12</f>
        <v>-11420</v>
      </c>
      <c r="C24" s="17">
        <f>Forecast_B!M12</f>
        <v>22291.53846</v>
      </c>
      <c r="D24" s="17">
        <f>Forecast_B!O12</f>
        <v>10000</v>
      </c>
    </row>
    <row r="25" ht="15.75" customHeight="1">
      <c r="A25" s="2">
        <v>9.0</v>
      </c>
      <c r="B25" s="17">
        <f>Forecast_B!G13</f>
        <v>-10420</v>
      </c>
      <c r="C25" s="17">
        <f>Forecast_B!M13</f>
        <v>22270</v>
      </c>
      <c r="D25" s="17">
        <f>Forecast_B!O13</f>
        <v>10000</v>
      </c>
    </row>
    <row r="26" ht="15.75" customHeight="1">
      <c r="A26" s="2">
        <v>10.0</v>
      </c>
      <c r="B26" s="17">
        <f>Forecast_B!G14</f>
        <v>-9420</v>
      </c>
      <c r="C26" s="17">
        <f>Forecast_B!M14</f>
        <v>22250</v>
      </c>
      <c r="D26" s="17">
        <f>Forecast_B!O14</f>
        <v>10000</v>
      </c>
    </row>
    <row r="27" ht="15.75" customHeight="1">
      <c r="A27" s="2">
        <v>11.0</v>
      </c>
      <c r="B27" s="17">
        <f>Forecast_B!G15</f>
        <v>-8420</v>
      </c>
      <c r="C27" s="17">
        <f>Forecast_B!M15</f>
        <v>22231.53846</v>
      </c>
      <c r="D27" s="17">
        <f>Forecast_B!O15</f>
        <v>10000</v>
      </c>
    </row>
    <row r="28" ht="15.75" customHeight="1">
      <c r="A28" s="2">
        <v>12.0</v>
      </c>
      <c r="B28" s="17">
        <f>Forecast_B!G16</f>
        <v>-7420</v>
      </c>
      <c r="C28" s="17">
        <f>Forecast_B!M16</f>
        <v>22214.61538</v>
      </c>
      <c r="D28" s="17">
        <f>Forecast_B!O16</f>
        <v>10000</v>
      </c>
    </row>
    <row r="29" ht="15.75" customHeight="1">
      <c r="A29" s="2">
        <v>13.0</v>
      </c>
      <c r="B29" s="17">
        <f>Forecast_B!G17</f>
        <v>-6420</v>
      </c>
      <c r="C29" s="17">
        <f>Forecast_B!M17</f>
        <v>22199.23077</v>
      </c>
      <c r="D29" s="17">
        <f>Forecast_B!O17</f>
        <v>10000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8.0"/>
    <col customWidth="1" min="2" max="3" width="16.0"/>
    <col customWidth="1" min="4" max="4" width="10.0"/>
    <col customWidth="1" min="5" max="5" width="90.0"/>
    <col customWidth="1" min="6" max="26" width="8.71"/>
  </cols>
  <sheetData>
    <row r="1">
      <c r="A1" s="1" t="s">
        <v>1</v>
      </c>
    </row>
    <row r="3">
      <c r="A3" s="3" t="s">
        <v>5</v>
      </c>
      <c r="B3" s="3" t="s">
        <v>14</v>
      </c>
      <c r="C3" s="3" t="s">
        <v>16</v>
      </c>
      <c r="D3" s="3" t="s">
        <v>18</v>
      </c>
      <c r="E3" s="3" t="s">
        <v>20</v>
      </c>
    </row>
    <row r="4">
      <c r="A4" s="2" t="s">
        <v>23</v>
      </c>
      <c r="B4" s="5">
        <v>20000.0</v>
      </c>
      <c r="C4" s="5">
        <v>20000.0</v>
      </c>
      <c r="D4" s="2" t="s">
        <v>32</v>
      </c>
      <c r="E4" s="2" t="s">
        <v>33</v>
      </c>
    </row>
    <row r="5">
      <c r="A5" s="2" t="s">
        <v>35</v>
      </c>
      <c r="B5" s="6">
        <v>10000.0</v>
      </c>
      <c r="C5" s="6">
        <v>10000.0</v>
      </c>
      <c r="D5" s="2" t="s">
        <v>40</v>
      </c>
      <c r="E5" s="2" t="s">
        <v>41</v>
      </c>
    </row>
    <row r="6">
      <c r="A6" s="2" t="s">
        <v>43</v>
      </c>
      <c r="B6" s="5">
        <v>9000.0</v>
      </c>
      <c r="C6" s="5">
        <v>6300.0</v>
      </c>
      <c r="D6" s="2" t="s">
        <v>40</v>
      </c>
      <c r="E6" s="2" t="s">
        <v>44</v>
      </c>
    </row>
    <row r="7">
      <c r="A7" s="2" t="s">
        <v>45</v>
      </c>
      <c r="B7" s="7">
        <v>0.0</v>
      </c>
      <c r="C7" s="7">
        <v>0.27</v>
      </c>
      <c r="D7" s="2" t="s">
        <v>46</v>
      </c>
      <c r="E7" s="2" t="s">
        <v>47</v>
      </c>
    </row>
    <row r="8">
      <c r="A8" s="2" t="s">
        <v>48</v>
      </c>
      <c r="B8" s="5">
        <v>1000.0</v>
      </c>
      <c r="C8" s="5">
        <v>1000.0</v>
      </c>
      <c r="D8" s="2" t="s">
        <v>40</v>
      </c>
      <c r="E8" s="2" t="s">
        <v>51</v>
      </c>
    </row>
    <row r="9">
      <c r="A9" s="2" t="s">
        <v>52</v>
      </c>
      <c r="B9" s="8">
        <v>2.0</v>
      </c>
      <c r="C9" s="8">
        <v>2.0</v>
      </c>
      <c r="D9" s="2" t="s">
        <v>56</v>
      </c>
      <c r="E9" s="2" t="s">
        <v>57</v>
      </c>
    </row>
    <row r="10">
      <c r="A10" s="2" t="s">
        <v>58</v>
      </c>
      <c r="B10" s="9">
        <v>6.0</v>
      </c>
      <c r="C10" s="9">
        <v>6.0</v>
      </c>
      <c r="D10" s="2" t="s">
        <v>59</v>
      </c>
      <c r="E10" s="2" t="s">
        <v>51</v>
      </c>
    </row>
    <row r="11">
      <c r="A11" s="2" t="s">
        <v>60</v>
      </c>
      <c r="B11" s="6">
        <v>10000.0</v>
      </c>
      <c r="C11" s="6">
        <v>10000.0</v>
      </c>
      <c r="D11" s="2" t="s">
        <v>32</v>
      </c>
      <c r="E11" s="2" t="s">
        <v>61</v>
      </c>
    </row>
    <row r="12">
      <c r="A12" s="2" t="s">
        <v>62</v>
      </c>
      <c r="B12" s="6">
        <v>20000.0</v>
      </c>
      <c r="C12" s="6">
        <v>20000.0</v>
      </c>
      <c r="D12" s="2" t="s">
        <v>32</v>
      </c>
      <c r="E12" s="2" t="s">
        <v>63</v>
      </c>
    </row>
    <row r="13">
      <c r="A13" s="2" t="s">
        <v>64</v>
      </c>
      <c r="B13" s="8">
        <v>2.0</v>
      </c>
      <c r="C13" s="8">
        <v>2.0</v>
      </c>
      <c r="D13" s="2" t="s">
        <v>56</v>
      </c>
      <c r="E13" s="2" t="s">
        <v>65</v>
      </c>
    </row>
    <row r="14">
      <c r="A14" s="2" t="s">
        <v>66</v>
      </c>
      <c r="B14" s="6">
        <v>15000.0</v>
      </c>
      <c r="C14" s="6">
        <v>15000.0</v>
      </c>
      <c r="D14" s="2" t="s">
        <v>32</v>
      </c>
      <c r="E14" s="2" t="s">
        <v>67</v>
      </c>
    </row>
    <row r="15">
      <c r="A15" s="2" t="s">
        <v>68</v>
      </c>
      <c r="B15" s="6">
        <v>50000.0</v>
      </c>
      <c r="C15" s="6">
        <v>50000.0</v>
      </c>
      <c r="D15" s="2" t="s">
        <v>32</v>
      </c>
      <c r="E15" s="2" t="s">
        <v>67</v>
      </c>
    </row>
    <row r="16">
      <c r="A16" s="2" t="s">
        <v>69</v>
      </c>
      <c r="B16" s="9">
        <v>0.0</v>
      </c>
      <c r="C16" s="9">
        <v>2.0</v>
      </c>
      <c r="D16" s="2" t="s">
        <v>59</v>
      </c>
      <c r="E16" s="2" t="s">
        <v>70</v>
      </c>
    </row>
    <row r="17">
      <c r="A17" s="2" t="s">
        <v>71</v>
      </c>
      <c r="B17" s="7">
        <v>0.08</v>
      </c>
      <c r="C17" s="7">
        <v>0.08</v>
      </c>
      <c r="D17" s="2" t="s">
        <v>72</v>
      </c>
      <c r="E17" s="2" t="s">
        <v>73</v>
      </c>
    </row>
    <row r="18">
      <c r="A18" s="2" t="s">
        <v>74</v>
      </c>
      <c r="B18" s="10">
        <v>0.01</v>
      </c>
      <c r="C18" s="10">
        <v>0.01</v>
      </c>
      <c r="D18" s="2" t="s">
        <v>75</v>
      </c>
      <c r="E18" s="2" t="s">
        <v>5</v>
      </c>
    </row>
    <row r="19">
      <c r="A19" s="2" t="s">
        <v>76</v>
      </c>
      <c r="B19" s="10">
        <v>0.1</v>
      </c>
      <c r="C19" s="10">
        <v>0.1</v>
      </c>
      <c r="D19" s="2" t="s">
        <v>46</v>
      </c>
      <c r="E19" s="2" t="s">
        <v>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15" width="13.0"/>
    <col customWidth="1" min="16" max="16" width="8.71"/>
    <col customWidth="1" min="17" max="17" width="28.0"/>
    <col customWidth="1" min="18" max="18" width="12.0"/>
    <col customWidth="1" min="19" max="26" width="8.71"/>
  </cols>
  <sheetData>
    <row r="1">
      <c r="A1" s="1" t="s">
        <v>8</v>
      </c>
    </row>
    <row r="3" ht="31.5" customHeight="1">
      <c r="A3" s="4" t="s">
        <v>15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34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42</v>
      </c>
      <c r="M3" s="4" t="s">
        <v>49</v>
      </c>
      <c r="N3" s="4" t="s">
        <v>50</v>
      </c>
      <c r="O3" s="4" t="s">
        <v>53</v>
      </c>
      <c r="Q3" s="1" t="s">
        <v>54</v>
      </c>
    </row>
    <row r="4">
      <c r="Q4" s="2" t="s">
        <v>55</v>
      </c>
      <c r="R4" s="11">
        <f>MIN(G5:G17)</f>
        <v>-27000</v>
      </c>
    </row>
    <row r="5">
      <c r="A5" s="12">
        <v>1.0</v>
      </c>
      <c r="B5" s="12">
        <f>IF(AND(A5&gt;=Inputs!$B$9,A5&lt;Inputs!$B$9+Inputs!$B$10),1,0)</f>
        <v>0</v>
      </c>
      <c r="C5" s="13">
        <f>IF(B5=1,Inputs!$B$8,Inputs!$B$5)</f>
        <v>10000</v>
      </c>
      <c r="D5" s="13">
        <f>C5*Inputs!$B$7</f>
        <v>0</v>
      </c>
      <c r="E5" s="13">
        <f>Inputs!$B$6</f>
        <v>9000</v>
      </c>
      <c r="F5" s="13">
        <f t="shared" ref="F5:F17" si="1">C5-D5-E5</f>
        <v>1000</v>
      </c>
      <c r="G5" s="14">
        <f>Inputs!$B$4+F5</f>
        <v>21000</v>
      </c>
      <c r="H5" s="13">
        <f>IF(A5=Inputs!$B$13,Inputs!$B$12,0)</f>
        <v>0</v>
      </c>
      <c r="I5" s="13">
        <f>IF(A5=Inputs!$B$9,$R$8,0)</f>
        <v>0</v>
      </c>
      <c r="J5" s="13">
        <f>I5*Inputs!$B$18</f>
        <v>0</v>
      </c>
      <c r="K5" s="13">
        <f>0*Inputs!$B$17/52</f>
        <v>0</v>
      </c>
      <c r="L5" s="13">
        <f>IF(AND(B5=0,A5&gt;Inputs!$B$9),MIN(Inputs!$B$19*C5,0),0)</f>
        <v>0</v>
      </c>
      <c r="M5" s="14">
        <f>Inputs!$B$4+F5+H5+I5-J5-K5-L5</f>
        <v>21000</v>
      </c>
      <c r="N5" s="13">
        <f>0+I5-L5</f>
        <v>0</v>
      </c>
      <c r="O5" s="13">
        <f>Inputs!$B$11</f>
        <v>10000</v>
      </c>
      <c r="Q5" s="2" t="s">
        <v>79</v>
      </c>
      <c r="R5" s="11">
        <f>MAX(0,Inputs!$B$11-(R4+Inputs!$B$12))</f>
        <v>17000</v>
      </c>
    </row>
    <row r="6">
      <c r="A6" s="12">
        <v>2.0</v>
      </c>
      <c r="B6" s="12">
        <f>IF(AND(A6&gt;=Inputs!$B$9,A6&lt;Inputs!$B$9+Inputs!$B$10),1,0)</f>
        <v>1</v>
      </c>
      <c r="C6" s="13">
        <f>IF(B6=1,Inputs!$B$8,Inputs!$B$5)</f>
        <v>1000</v>
      </c>
      <c r="D6" s="13">
        <f>C6*Inputs!$B$7</f>
        <v>0</v>
      </c>
      <c r="E6" s="13">
        <f>Inputs!$B$6</f>
        <v>9000</v>
      </c>
      <c r="F6" s="13">
        <f t="shared" si="1"/>
        <v>-8000</v>
      </c>
      <c r="G6" s="14">
        <f t="shared" ref="G6:G17" si="2">G5+F6</f>
        <v>13000</v>
      </c>
      <c r="H6" s="13">
        <f>IF(A6=Inputs!$B$13,Inputs!$B$12,0)</f>
        <v>20000</v>
      </c>
      <c r="I6" s="13">
        <f>IF(A6=Inputs!$B$9,$R$8,0)</f>
        <v>15000</v>
      </c>
      <c r="J6" s="13">
        <f>I6*Inputs!$B$18</f>
        <v>150</v>
      </c>
      <c r="K6" s="13">
        <f>N5*Inputs!$B$17/52</f>
        <v>0</v>
      </c>
      <c r="L6" s="13">
        <f>IF(AND(B6=0,A6&gt;Inputs!$B$9),MIN(Inputs!$B$19*C6,N5),0)</f>
        <v>0</v>
      </c>
      <c r="M6" s="14">
        <f t="shared" ref="M6:M17" si="3">M5+F6+H6+I6-J6-K6-L6</f>
        <v>47850</v>
      </c>
      <c r="N6" s="13">
        <f t="shared" ref="N6:N17" si="4">N5+I6-L6</f>
        <v>15000</v>
      </c>
      <c r="O6" s="13">
        <f>Inputs!$B$11</f>
        <v>10000</v>
      </c>
      <c r="Q6" s="2" t="s">
        <v>93</v>
      </c>
      <c r="R6" s="11">
        <f>IF(R5&gt;0,Inputs!$B$16*Inputs!$B$6,0)</f>
        <v>0</v>
      </c>
    </row>
    <row r="7">
      <c r="A7" s="12">
        <v>3.0</v>
      </c>
      <c r="B7" s="12">
        <f>IF(AND(A7&gt;=Inputs!$B$9,A7&lt;Inputs!$B$9+Inputs!$B$10),1,0)</f>
        <v>1</v>
      </c>
      <c r="C7" s="13">
        <f>IF(B7=1,Inputs!$B$8,Inputs!$B$5)</f>
        <v>1000</v>
      </c>
      <c r="D7" s="13">
        <f>C7*Inputs!$B$7</f>
        <v>0</v>
      </c>
      <c r="E7" s="13">
        <f>Inputs!$B$6</f>
        <v>9000</v>
      </c>
      <c r="F7" s="13">
        <f t="shared" si="1"/>
        <v>-8000</v>
      </c>
      <c r="G7" s="14">
        <f t="shared" si="2"/>
        <v>5000</v>
      </c>
      <c r="H7" s="13">
        <f>IF(A7=Inputs!$B$13,Inputs!$B$12,0)</f>
        <v>0</v>
      </c>
      <c r="I7" s="13">
        <f>IF(A7=Inputs!$B$9,$R$8,0)</f>
        <v>0</v>
      </c>
      <c r="J7" s="13">
        <f>I7*Inputs!$B$18</f>
        <v>0</v>
      </c>
      <c r="K7" s="13">
        <f>N6*Inputs!$B$17/52</f>
        <v>23.07692308</v>
      </c>
      <c r="L7" s="13">
        <f>IF(AND(B7=0,A7&gt;Inputs!$B$9),MIN(Inputs!$B$19*C7,N6),0)</f>
        <v>0</v>
      </c>
      <c r="M7" s="14">
        <f t="shared" si="3"/>
        <v>39826.92308</v>
      </c>
      <c r="N7" s="13">
        <f t="shared" si="4"/>
        <v>15000</v>
      </c>
      <c r="O7" s="13">
        <f>Inputs!$B$11</f>
        <v>10000</v>
      </c>
      <c r="Q7" s="2" t="s">
        <v>102</v>
      </c>
      <c r="R7" s="11">
        <f>R5+R6</f>
        <v>17000</v>
      </c>
    </row>
    <row r="8">
      <c r="A8" s="12">
        <v>4.0</v>
      </c>
      <c r="B8" s="12">
        <f>IF(AND(A8&gt;=Inputs!$B$9,A8&lt;Inputs!$B$9+Inputs!$B$10),1,0)</f>
        <v>1</v>
      </c>
      <c r="C8" s="13">
        <f>IF(B8=1,Inputs!$B$8,Inputs!$B$5)</f>
        <v>1000</v>
      </c>
      <c r="D8" s="13">
        <f>C8*Inputs!$B$7</f>
        <v>0</v>
      </c>
      <c r="E8" s="13">
        <f>Inputs!$B$6</f>
        <v>9000</v>
      </c>
      <c r="F8" s="13">
        <f t="shared" si="1"/>
        <v>-8000</v>
      </c>
      <c r="G8" s="14">
        <f t="shared" si="2"/>
        <v>-3000</v>
      </c>
      <c r="H8" s="13">
        <f>IF(A8=Inputs!$B$13,Inputs!$B$12,0)</f>
        <v>0</v>
      </c>
      <c r="I8" s="13">
        <f>IF(A8=Inputs!$B$9,$R$8,0)</f>
        <v>0</v>
      </c>
      <c r="J8" s="13">
        <f>I8*Inputs!$B$18</f>
        <v>0</v>
      </c>
      <c r="K8" s="13">
        <f>N7*Inputs!$B$17/52</f>
        <v>23.07692308</v>
      </c>
      <c r="L8" s="13">
        <f>IF(AND(B8=0,A8&gt;Inputs!$B$9),MIN(Inputs!$B$19*C8,N7),0)</f>
        <v>0</v>
      </c>
      <c r="M8" s="14">
        <f t="shared" si="3"/>
        <v>31803.84615</v>
      </c>
      <c r="N8" s="13">
        <f t="shared" si="4"/>
        <v>15000</v>
      </c>
      <c r="O8" s="13">
        <f>Inputs!$B$11</f>
        <v>10000</v>
      </c>
      <c r="Q8" s="2" t="s">
        <v>103</v>
      </c>
      <c r="R8" s="11">
        <f>MIN(Inputs!$B$14,Inputs!$B$15,R7)</f>
        <v>15000</v>
      </c>
    </row>
    <row r="9">
      <c r="A9" s="12">
        <v>5.0</v>
      </c>
      <c r="B9" s="12">
        <f>IF(AND(A9&gt;=Inputs!$B$9,A9&lt;Inputs!$B$9+Inputs!$B$10),1,0)</f>
        <v>1</v>
      </c>
      <c r="C9" s="13">
        <f>IF(B9=1,Inputs!$B$8,Inputs!$B$5)</f>
        <v>1000</v>
      </c>
      <c r="D9" s="13">
        <f>C9*Inputs!$B$7</f>
        <v>0</v>
      </c>
      <c r="E9" s="13">
        <f>Inputs!$B$6</f>
        <v>9000</v>
      </c>
      <c r="F9" s="13">
        <f t="shared" si="1"/>
        <v>-8000</v>
      </c>
      <c r="G9" s="14">
        <f t="shared" si="2"/>
        <v>-11000</v>
      </c>
      <c r="H9" s="13">
        <f>IF(A9=Inputs!$B$13,Inputs!$B$12,0)</f>
        <v>0</v>
      </c>
      <c r="I9" s="13">
        <f>IF(A9=Inputs!$B$9,$R$8,0)</f>
        <v>0</v>
      </c>
      <c r="J9" s="13">
        <f>I9*Inputs!$B$18</f>
        <v>0</v>
      </c>
      <c r="K9" s="13">
        <f>N8*Inputs!$B$17/52</f>
        <v>23.07692308</v>
      </c>
      <c r="L9" s="13">
        <f>IF(AND(B9=0,A9&gt;Inputs!$B$9),MIN(Inputs!$B$19*C9,N8),0)</f>
        <v>0</v>
      </c>
      <c r="M9" s="14">
        <f t="shared" si="3"/>
        <v>23780.76923</v>
      </c>
      <c r="N9" s="13">
        <f t="shared" si="4"/>
        <v>15000</v>
      </c>
      <c r="O9" s="13">
        <f>Inputs!$B$11</f>
        <v>10000</v>
      </c>
      <c r="Q9" s="2" t="s">
        <v>88</v>
      </c>
      <c r="R9" s="11">
        <f>MAX(0,R5-R8)</f>
        <v>2000</v>
      </c>
    </row>
    <row r="10">
      <c r="A10" s="12">
        <v>6.0</v>
      </c>
      <c r="B10" s="12">
        <f>IF(AND(A10&gt;=Inputs!$B$9,A10&lt;Inputs!$B$9+Inputs!$B$10),1,0)</f>
        <v>1</v>
      </c>
      <c r="C10" s="13">
        <f>IF(B10=1,Inputs!$B$8,Inputs!$B$5)</f>
        <v>1000</v>
      </c>
      <c r="D10" s="13">
        <f>C10*Inputs!$B$7</f>
        <v>0</v>
      </c>
      <c r="E10" s="13">
        <f>Inputs!$B$6</f>
        <v>9000</v>
      </c>
      <c r="F10" s="13">
        <f t="shared" si="1"/>
        <v>-8000</v>
      </c>
      <c r="G10" s="14">
        <f t="shared" si="2"/>
        <v>-19000</v>
      </c>
      <c r="H10" s="13">
        <f>IF(A10=Inputs!$B$13,Inputs!$B$12,0)</f>
        <v>0</v>
      </c>
      <c r="I10" s="13">
        <f>IF(A10=Inputs!$B$9,$R$8,0)</f>
        <v>0</v>
      </c>
      <c r="J10" s="13">
        <f>I10*Inputs!$B$18</f>
        <v>0</v>
      </c>
      <c r="K10" s="13">
        <f>N9*Inputs!$B$17/52</f>
        <v>23.07692308</v>
      </c>
      <c r="L10" s="13">
        <f>IF(AND(B10=0,A10&gt;Inputs!$B$9),MIN(Inputs!$B$19*C10,N9),0)</f>
        <v>0</v>
      </c>
      <c r="M10" s="14">
        <f t="shared" si="3"/>
        <v>15757.69231</v>
      </c>
      <c r="N10" s="13">
        <f t="shared" si="4"/>
        <v>15000</v>
      </c>
      <c r="O10" s="13">
        <f>Inputs!$B$11</f>
        <v>10000</v>
      </c>
    </row>
    <row r="11">
      <c r="A11" s="12">
        <v>7.0</v>
      </c>
      <c r="B11" s="12">
        <f>IF(AND(A11&gt;=Inputs!$B$9,A11&lt;Inputs!$B$9+Inputs!$B$10),1,0)</f>
        <v>1</v>
      </c>
      <c r="C11" s="13">
        <f>IF(B11=1,Inputs!$B$8,Inputs!$B$5)</f>
        <v>1000</v>
      </c>
      <c r="D11" s="13">
        <f>C11*Inputs!$B$7</f>
        <v>0</v>
      </c>
      <c r="E11" s="13">
        <f>Inputs!$B$6</f>
        <v>9000</v>
      </c>
      <c r="F11" s="13">
        <f t="shared" si="1"/>
        <v>-8000</v>
      </c>
      <c r="G11" s="14">
        <f t="shared" si="2"/>
        <v>-27000</v>
      </c>
      <c r="H11" s="13">
        <f>IF(A11=Inputs!$B$13,Inputs!$B$12,0)</f>
        <v>0</v>
      </c>
      <c r="I11" s="13">
        <f>IF(A11=Inputs!$B$9,$R$8,0)</f>
        <v>0</v>
      </c>
      <c r="J11" s="13">
        <f>I11*Inputs!$B$18</f>
        <v>0</v>
      </c>
      <c r="K11" s="13">
        <f>N10*Inputs!$B$17/52</f>
        <v>23.07692308</v>
      </c>
      <c r="L11" s="13">
        <f>IF(AND(B11=0,A11&gt;Inputs!$B$9),MIN(Inputs!$B$19*C11,N10),0)</f>
        <v>0</v>
      </c>
      <c r="M11" s="14">
        <f t="shared" si="3"/>
        <v>7734.615385</v>
      </c>
      <c r="N11" s="13">
        <f t="shared" si="4"/>
        <v>15000</v>
      </c>
      <c r="O11" s="13">
        <f>Inputs!$B$11</f>
        <v>10000</v>
      </c>
    </row>
    <row r="12">
      <c r="A12" s="12">
        <v>8.0</v>
      </c>
      <c r="B12" s="12">
        <f>IF(AND(A12&gt;=Inputs!$B$9,A12&lt;Inputs!$B$9+Inputs!$B$10),1,0)</f>
        <v>0</v>
      </c>
      <c r="C12" s="13">
        <f>IF(B12=1,Inputs!$B$8,Inputs!$B$5)</f>
        <v>10000</v>
      </c>
      <c r="D12" s="13">
        <f>C12*Inputs!$B$7</f>
        <v>0</v>
      </c>
      <c r="E12" s="13">
        <f>Inputs!$B$6</f>
        <v>9000</v>
      </c>
      <c r="F12" s="13">
        <f t="shared" si="1"/>
        <v>1000</v>
      </c>
      <c r="G12" s="14">
        <f t="shared" si="2"/>
        <v>-26000</v>
      </c>
      <c r="H12" s="13">
        <f>IF(A12=Inputs!$B$13,Inputs!$B$12,0)</f>
        <v>0</v>
      </c>
      <c r="I12" s="13">
        <f>IF(A12=Inputs!$B$9,$R$8,0)</f>
        <v>0</v>
      </c>
      <c r="J12" s="13">
        <f>I12*Inputs!$B$18</f>
        <v>0</v>
      </c>
      <c r="K12" s="13">
        <f>N11*Inputs!$B$17/52</f>
        <v>23.07692308</v>
      </c>
      <c r="L12" s="13">
        <f>IF(AND(B12=0,A12&gt;Inputs!$B$9),MIN(Inputs!$B$19*C12,N11),0)</f>
        <v>1000</v>
      </c>
      <c r="M12" s="14">
        <f t="shared" si="3"/>
        <v>7711.538462</v>
      </c>
      <c r="N12" s="13">
        <f t="shared" si="4"/>
        <v>14000</v>
      </c>
      <c r="O12" s="13">
        <f>Inputs!$B$11</f>
        <v>10000</v>
      </c>
    </row>
    <row r="13">
      <c r="A13" s="12">
        <v>9.0</v>
      </c>
      <c r="B13" s="12">
        <f>IF(AND(A13&gt;=Inputs!$B$9,A13&lt;Inputs!$B$9+Inputs!$B$10),1,0)</f>
        <v>0</v>
      </c>
      <c r="C13" s="13">
        <f>IF(B13=1,Inputs!$B$8,Inputs!$B$5)</f>
        <v>10000</v>
      </c>
      <c r="D13" s="13">
        <f>C13*Inputs!$B$7</f>
        <v>0</v>
      </c>
      <c r="E13" s="13">
        <f>Inputs!$B$6</f>
        <v>9000</v>
      </c>
      <c r="F13" s="13">
        <f t="shared" si="1"/>
        <v>1000</v>
      </c>
      <c r="G13" s="14">
        <f t="shared" si="2"/>
        <v>-25000</v>
      </c>
      <c r="H13" s="13">
        <f>IF(A13=Inputs!$B$13,Inputs!$B$12,0)</f>
        <v>0</v>
      </c>
      <c r="I13" s="13">
        <f>IF(A13=Inputs!$B$9,$R$8,0)</f>
        <v>0</v>
      </c>
      <c r="J13" s="13">
        <f>I13*Inputs!$B$18</f>
        <v>0</v>
      </c>
      <c r="K13" s="13">
        <f>N12*Inputs!$B$17/52</f>
        <v>21.53846154</v>
      </c>
      <c r="L13" s="13">
        <f>IF(AND(B13=0,A13&gt;Inputs!$B$9),MIN(Inputs!$B$19*C13,N12),0)</f>
        <v>1000</v>
      </c>
      <c r="M13" s="14">
        <f t="shared" si="3"/>
        <v>7690</v>
      </c>
      <c r="N13" s="13">
        <f t="shared" si="4"/>
        <v>13000</v>
      </c>
      <c r="O13" s="13">
        <f>Inputs!$B$11</f>
        <v>10000</v>
      </c>
    </row>
    <row r="14">
      <c r="A14" s="12">
        <v>10.0</v>
      </c>
      <c r="B14" s="12">
        <f>IF(AND(A14&gt;=Inputs!$B$9,A14&lt;Inputs!$B$9+Inputs!$B$10),1,0)</f>
        <v>0</v>
      </c>
      <c r="C14" s="13">
        <f>IF(B14=1,Inputs!$B$8,Inputs!$B$5)</f>
        <v>10000</v>
      </c>
      <c r="D14" s="13">
        <f>C14*Inputs!$B$7</f>
        <v>0</v>
      </c>
      <c r="E14" s="13">
        <f>Inputs!$B$6</f>
        <v>9000</v>
      </c>
      <c r="F14" s="13">
        <f t="shared" si="1"/>
        <v>1000</v>
      </c>
      <c r="G14" s="14">
        <f t="shared" si="2"/>
        <v>-24000</v>
      </c>
      <c r="H14" s="13">
        <f>IF(A14=Inputs!$B$13,Inputs!$B$12,0)</f>
        <v>0</v>
      </c>
      <c r="I14" s="13">
        <f>IF(A14=Inputs!$B$9,$R$8,0)</f>
        <v>0</v>
      </c>
      <c r="J14" s="13">
        <f>I14*Inputs!$B$18</f>
        <v>0</v>
      </c>
      <c r="K14" s="13">
        <f>N13*Inputs!$B$17/52</f>
        <v>20</v>
      </c>
      <c r="L14" s="13">
        <f>IF(AND(B14=0,A14&gt;Inputs!$B$9),MIN(Inputs!$B$19*C14,N13),0)</f>
        <v>1000</v>
      </c>
      <c r="M14" s="14">
        <f t="shared" si="3"/>
        <v>7670</v>
      </c>
      <c r="N14" s="13">
        <f t="shared" si="4"/>
        <v>12000</v>
      </c>
      <c r="O14" s="13">
        <f>Inputs!$B$11</f>
        <v>10000</v>
      </c>
    </row>
    <row r="15">
      <c r="A15" s="12">
        <v>11.0</v>
      </c>
      <c r="B15" s="12">
        <f>IF(AND(A15&gt;=Inputs!$B$9,A15&lt;Inputs!$B$9+Inputs!$B$10),1,0)</f>
        <v>0</v>
      </c>
      <c r="C15" s="13">
        <f>IF(B15=1,Inputs!$B$8,Inputs!$B$5)</f>
        <v>10000</v>
      </c>
      <c r="D15" s="13">
        <f>C15*Inputs!$B$7</f>
        <v>0</v>
      </c>
      <c r="E15" s="13">
        <f>Inputs!$B$6</f>
        <v>9000</v>
      </c>
      <c r="F15" s="13">
        <f t="shared" si="1"/>
        <v>1000</v>
      </c>
      <c r="G15" s="14">
        <f t="shared" si="2"/>
        <v>-23000</v>
      </c>
      <c r="H15" s="13">
        <f>IF(A15=Inputs!$B$13,Inputs!$B$12,0)</f>
        <v>0</v>
      </c>
      <c r="I15" s="13">
        <f>IF(A15=Inputs!$B$9,$R$8,0)</f>
        <v>0</v>
      </c>
      <c r="J15" s="13">
        <f>I15*Inputs!$B$18</f>
        <v>0</v>
      </c>
      <c r="K15" s="13">
        <f>N14*Inputs!$B$17/52</f>
        <v>18.46153846</v>
      </c>
      <c r="L15" s="13">
        <f>IF(AND(B15=0,A15&gt;Inputs!$B$9),MIN(Inputs!$B$19*C15,N14),0)</f>
        <v>1000</v>
      </c>
      <c r="M15" s="14">
        <f t="shared" si="3"/>
        <v>7651.538462</v>
      </c>
      <c r="N15" s="13">
        <f t="shared" si="4"/>
        <v>11000</v>
      </c>
      <c r="O15" s="13">
        <f>Inputs!$B$11</f>
        <v>10000</v>
      </c>
    </row>
    <row r="16">
      <c r="A16" s="12">
        <v>12.0</v>
      </c>
      <c r="B16" s="12">
        <f>IF(AND(A16&gt;=Inputs!$B$9,A16&lt;Inputs!$B$9+Inputs!$B$10),1,0)</f>
        <v>0</v>
      </c>
      <c r="C16" s="13">
        <f>IF(B16=1,Inputs!$B$8,Inputs!$B$5)</f>
        <v>10000</v>
      </c>
      <c r="D16" s="13">
        <f>C16*Inputs!$B$7</f>
        <v>0</v>
      </c>
      <c r="E16" s="13">
        <f>Inputs!$B$6</f>
        <v>9000</v>
      </c>
      <c r="F16" s="13">
        <f t="shared" si="1"/>
        <v>1000</v>
      </c>
      <c r="G16" s="14">
        <f t="shared" si="2"/>
        <v>-22000</v>
      </c>
      <c r="H16" s="13">
        <f>IF(A16=Inputs!$B$13,Inputs!$B$12,0)</f>
        <v>0</v>
      </c>
      <c r="I16" s="13">
        <f>IF(A16=Inputs!$B$9,$R$8,0)</f>
        <v>0</v>
      </c>
      <c r="J16" s="13">
        <f>I16*Inputs!$B$18</f>
        <v>0</v>
      </c>
      <c r="K16" s="13">
        <f>N15*Inputs!$B$17/52</f>
        <v>16.92307692</v>
      </c>
      <c r="L16" s="13">
        <f>IF(AND(B16=0,A16&gt;Inputs!$B$9),MIN(Inputs!$B$19*C16,N15),0)</f>
        <v>1000</v>
      </c>
      <c r="M16" s="14">
        <f t="shared" si="3"/>
        <v>7634.615385</v>
      </c>
      <c r="N16" s="13">
        <f t="shared" si="4"/>
        <v>10000</v>
      </c>
      <c r="O16" s="13">
        <f>Inputs!$B$11</f>
        <v>10000</v>
      </c>
    </row>
    <row r="17">
      <c r="A17" s="12">
        <v>13.0</v>
      </c>
      <c r="B17" s="12">
        <f>IF(AND(A17&gt;=Inputs!$B$9,A17&lt;Inputs!$B$9+Inputs!$B$10),1,0)</f>
        <v>0</v>
      </c>
      <c r="C17" s="13">
        <f>IF(B17=1,Inputs!$B$8,Inputs!$B$5)</f>
        <v>10000</v>
      </c>
      <c r="D17" s="13">
        <f>C17*Inputs!$B$7</f>
        <v>0</v>
      </c>
      <c r="E17" s="13">
        <f>Inputs!$B$6</f>
        <v>9000</v>
      </c>
      <c r="F17" s="13">
        <f t="shared" si="1"/>
        <v>1000</v>
      </c>
      <c r="G17" s="14">
        <f t="shared" si="2"/>
        <v>-21000</v>
      </c>
      <c r="H17" s="13">
        <f>IF(A17=Inputs!$B$13,Inputs!$B$12,0)</f>
        <v>0</v>
      </c>
      <c r="I17" s="13">
        <f>IF(A17=Inputs!$B$9,$R$8,0)</f>
        <v>0</v>
      </c>
      <c r="J17" s="13">
        <f>I17*Inputs!$B$18</f>
        <v>0</v>
      </c>
      <c r="K17" s="13">
        <f>N16*Inputs!$B$17/52</f>
        <v>15.38461538</v>
      </c>
      <c r="L17" s="13">
        <f>IF(AND(B17=0,A17&gt;Inputs!$B$9),MIN(Inputs!$B$19*C17,N16),0)</f>
        <v>1000</v>
      </c>
      <c r="M17" s="14">
        <f t="shared" si="3"/>
        <v>7619.230769</v>
      </c>
      <c r="N17" s="13">
        <f t="shared" si="4"/>
        <v>9000</v>
      </c>
      <c r="O17" s="13">
        <f>Inputs!$B$11</f>
        <v>10000</v>
      </c>
    </row>
    <row r="19">
      <c r="A19" s="2" t="s">
        <v>104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15" width="13.0"/>
    <col customWidth="1" min="16" max="16" width="8.71"/>
    <col customWidth="1" min="17" max="17" width="28.0"/>
    <col customWidth="1" min="18" max="18" width="12.0"/>
    <col customWidth="1" min="19" max="26" width="8.71"/>
  </cols>
  <sheetData>
    <row r="1">
      <c r="A1" s="1" t="s">
        <v>78</v>
      </c>
    </row>
    <row r="3" ht="31.5" customHeight="1">
      <c r="A3" s="4" t="s">
        <v>15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34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42</v>
      </c>
      <c r="M3" s="4" t="s">
        <v>49</v>
      </c>
      <c r="N3" s="4" t="s">
        <v>50</v>
      </c>
      <c r="O3" s="4" t="s">
        <v>53</v>
      </c>
      <c r="Q3" s="1" t="s">
        <v>54</v>
      </c>
    </row>
    <row r="4">
      <c r="Q4" s="2" t="s">
        <v>55</v>
      </c>
      <c r="R4" s="11">
        <f>MIN(G5:G17)</f>
        <v>-12420</v>
      </c>
    </row>
    <row r="5">
      <c r="A5" s="12">
        <v>1.0</v>
      </c>
      <c r="B5" s="12">
        <f>IF(AND(A5&gt;=Inputs!$C$9,A5&lt;Inputs!$C$9+Inputs!$C$10),1,0)</f>
        <v>0</v>
      </c>
      <c r="C5" s="13">
        <f>IF(B5=1,Inputs!$C$8,Inputs!$C$5)</f>
        <v>10000</v>
      </c>
      <c r="D5" s="13">
        <f>C5*Inputs!$C$7</f>
        <v>2700</v>
      </c>
      <c r="E5" s="13">
        <f>Inputs!$C$6</f>
        <v>6300</v>
      </c>
      <c r="F5" s="13">
        <f t="shared" ref="F5:F17" si="1">C5-D5-E5</f>
        <v>1000</v>
      </c>
      <c r="G5" s="14">
        <f>Inputs!$C$4+F5</f>
        <v>21000</v>
      </c>
      <c r="H5" s="13">
        <f>IF(A5=Inputs!$C$13,Inputs!$C$12,0)</f>
        <v>0</v>
      </c>
      <c r="I5" s="13">
        <f>IF(A5=Inputs!$C$9,$R$8,0)</f>
        <v>0</v>
      </c>
      <c r="J5" s="13">
        <f>I5*Inputs!$C$18</f>
        <v>0</v>
      </c>
      <c r="K5" s="13">
        <f>0*Inputs!$C$17/52</f>
        <v>0</v>
      </c>
      <c r="L5" s="13">
        <f>IF(AND(B5=0,A5&gt;Inputs!$C$9),MIN(Inputs!$C$19*C5,0),0)</f>
        <v>0</v>
      </c>
      <c r="M5" s="14">
        <f>Inputs!$C$4+F5+H5+I5-J5-K5-L5</f>
        <v>21000</v>
      </c>
      <c r="N5" s="13">
        <f>0+I5-L5</f>
        <v>0</v>
      </c>
      <c r="O5" s="13">
        <f>Inputs!$C$11</f>
        <v>10000</v>
      </c>
      <c r="Q5" s="2" t="s">
        <v>79</v>
      </c>
      <c r="R5" s="11">
        <f>MAX(0,Inputs!$C$11-(R4+Inputs!$C$12))</f>
        <v>2420</v>
      </c>
    </row>
    <row r="6">
      <c r="A6" s="12">
        <v>2.0</v>
      </c>
      <c r="B6" s="12">
        <f>IF(AND(A6&gt;=Inputs!$C$9,A6&lt;Inputs!$C$9+Inputs!$C$10),1,0)</f>
        <v>1</v>
      </c>
      <c r="C6" s="13">
        <f>IF(B6=1,Inputs!$C$8,Inputs!$C$5)</f>
        <v>1000</v>
      </c>
      <c r="D6" s="13">
        <f>C6*Inputs!$C$7</f>
        <v>270</v>
      </c>
      <c r="E6" s="13">
        <f>Inputs!$C$6</f>
        <v>6300</v>
      </c>
      <c r="F6" s="13">
        <f t="shared" si="1"/>
        <v>-5570</v>
      </c>
      <c r="G6" s="14">
        <f t="shared" ref="G6:G17" si="2">G5+F6</f>
        <v>15430</v>
      </c>
      <c r="H6" s="13">
        <f>IF(A6=Inputs!$C$13,Inputs!$C$12,0)</f>
        <v>20000</v>
      </c>
      <c r="I6" s="13">
        <f>IF(A6=Inputs!$C$9,$R$8,0)</f>
        <v>15000</v>
      </c>
      <c r="J6" s="13">
        <f>I6*Inputs!$C$18</f>
        <v>150</v>
      </c>
      <c r="K6" s="13">
        <f>N5*Inputs!$C$17/52</f>
        <v>0</v>
      </c>
      <c r="L6" s="13">
        <f>IF(AND(B6=0,A6&gt;Inputs!$C$9),MIN(Inputs!$C$19*C6,N5),0)</f>
        <v>0</v>
      </c>
      <c r="M6" s="14">
        <f t="shared" ref="M6:M17" si="3">M5+F6+H6+I6-J6-K6-L6</f>
        <v>50280</v>
      </c>
      <c r="N6" s="13">
        <f t="shared" ref="N6:N17" si="4">N5+I6-L6</f>
        <v>15000</v>
      </c>
      <c r="O6" s="13">
        <f>Inputs!$C$11</f>
        <v>10000</v>
      </c>
      <c r="Q6" s="2" t="s">
        <v>93</v>
      </c>
      <c r="R6" s="11">
        <f>IF(R5&gt;0,Inputs!$C$16*Inputs!$C$6,0)</f>
        <v>12600</v>
      </c>
    </row>
    <row r="7">
      <c r="A7" s="12">
        <v>3.0</v>
      </c>
      <c r="B7" s="12">
        <f>IF(AND(A7&gt;=Inputs!$C$9,A7&lt;Inputs!$C$9+Inputs!$C$10),1,0)</f>
        <v>1</v>
      </c>
      <c r="C7" s="13">
        <f>IF(B7=1,Inputs!$C$8,Inputs!$C$5)</f>
        <v>1000</v>
      </c>
      <c r="D7" s="13">
        <f>C7*Inputs!$C$7</f>
        <v>270</v>
      </c>
      <c r="E7" s="13">
        <f>Inputs!$C$6</f>
        <v>6300</v>
      </c>
      <c r="F7" s="13">
        <f t="shared" si="1"/>
        <v>-5570</v>
      </c>
      <c r="G7" s="14">
        <f t="shared" si="2"/>
        <v>9860</v>
      </c>
      <c r="H7" s="13">
        <f>IF(A7=Inputs!$C$13,Inputs!$C$12,0)</f>
        <v>0</v>
      </c>
      <c r="I7" s="13">
        <f>IF(A7=Inputs!$C$9,$R$8,0)</f>
        <v>0</v>
      </c>
      <c r="J7" s="13">
        <f>I7*Inputs!$C$18</f>
        <v>0</v>
      </c>
      <c r="K7" s="13">
        <f>N6*Inputs!$C$17/52</f>
        <v>23.07692308</v>
      </c>
      <c r="L7" s="13">
        <f>IF(AND(B7=0,A7&gt;Inputs!$C$9),MIN(Inputs!$C$19*C7,N6),0)</f>
        <v>0</v>
      </c>
      <c r="M7" s="14">
        <f t="shared" si="3"/>
        <v>44686.92308</v>
      </c>
      <c r="N7" s="13">
        <f t="shared" si="4"/>
        <v>15000</v>
      </c>
      <c r="O7" s="13">
        <f>Inputs!$C$11</f>
        <v>10000</v>
      </c>
      <c r="Q7" s="2" t="s">
        <v>102</v>
      </c>
      <c r="R7" s="11">
        <f>R5+R6</f>
        <v>15020</v>
      </c>
    </row>
    <row r="8">
      <c r="A8" s="12">
        <v>4.0</v>
      </c>
      <c r="B8" s="12">
        <f>IF(AND(A8&gt;=Inputs!$C$9,A8&lt;Inputs!$C$9+Inputs!$C$10),1,0)</f>
        <v>1</v>
      </c>
      <c r="C8" s="13">
        <f>IF(B8=1,Inputs!$C$8,Inputs!$C$5)</f>
        <v>1000</v>
      </c>
      <c r="D8" s="13">
        <f>C8*Inputs!$C$7</f>
        <v>270</v>
      </c>
      <c r="E8" s="13">
        <f>Inputs!$C$6</f>
        <v>6300</v>
      </c>
      <c r="F8" s="13">
        <f t="shared" si="1"/>
        <v>-5570</v>
      </c>
      <c r="G8" s="14">
        <f t="shared" si="2"/>
        <v>4290</v>
      </c>
      <c r="H8" s="13">
        <f>IF(A8=Inputs!$C$13,Inputs!$C$12,0)</f>
        <v>0</v>
      </c>
      <c r="I8" s="13">
        <f>IF(A8=Inputs!$C$9,$R$8,0)</f>
        <v>0</v>
      </c>
      <c r="J8" s="13">
        <f>I8*Inputs!$C$18</f>
        <v>0</v>
      </c>
      <c r="K8" s="13">
        <f>N7*Inputs!$C$17/52</f>
        <v>23.07692308</v>
      </c>
      <c r="L8" s="13">
        <f>IF(AND(B8=0,A8&gt;Inputs!$C$9),MIN(Inputs!$C$19*C8,N7),0)</f>
        <v>0</v>
      </c>
      <c r="M8" s="14">
        <f t="shared" si="3"/>
        <v>39093.84615</v>
      </c>
      <c r="N8" s="13">
        <f t="shared" si="4"/>
        <v>15000</v>
      </c>
      <c r="O8" s="13">
        <f>Inputs!$C$11</f>
        <v>10000</v>
      </c>
      <c r="Q8" s="2" t="s">
        <v>103</v>
      </c>
      <c r="R8" s="11">
        <f>MIN(Inputs!$C$14,Inputs!$C$15,R7)</f>
        <v>15000</v>
      </c>
    </row>
    <row r="9">
      <c r="A9" s="12">
        <v>5.0</v>
      </c>
      <c r="B9" s="12">
        <f>IF(AND(A9&gt;=Inputs!$C$9,A9&lt;Inputs!$C$9+Inputs!$C$10),1,0)</f>
        <v>1</v>
      </c>
      <c r="C9" s="13">
        <f>IF(B9=1,Inputs!$C$8,Inputs!$C$5)</f>
        <v>1000</v>
      </c>
      <c r="D9" s="13">
        <f>C9*Inputs!$C$7</f>
        <v>270</v>
      </c>
      <c r="E9" s="13">
        <f>Inputs!$C$6</f>
        <v>6300</v>
      </c>
      <c r="F9" s="13">
        <f t="shared" si="1"/>
        <v>-5570</v>
      </c>
      <c r="G9" s="14">
        <f t="shared" si="2"/>
        <v>-1280</v>
      </c>
      <c r="H9" s="13">
        <f>IF(A9=Inputs!$C$13,Inputs!$C$12,0)</f>
        <v>0</v>
      </c>
      <c r="I9" s="13">
        <f>IF(A9=Inputs!$C$9,$R$8,0)</f>
        <v>0</v>
      </c>
      <c r="J9" s="13">
        <f>I9*Inputs!$C$18</f>
        <v>0</v>
      </c>
      <c r="K9" s="13">
        <f>N8*Inputs!$C$17/52</f>
        <v>23.07692308</v>
      </c>
      <c r="L9" s="13">
        <f>IF(AND(B9=0,A9&gt;Inputs!$C$9),MIN(Inputs!$C$19*C9,N8),0)</f>
        <v>0</v>
      </c>
      <c r="M9" s="14">
        <f t="shared" si="3"/>
        <v>33500.76923</v>
      </c>
      <c r="N9" s="13">
        <f t="shared" si="4"/>
        <v>15000</v>
      </c>
      <c r="O9" s="13">
        <f>Inputs!$C$11</f>
        <v>10000</v>
      </c>
      <c r="Q9" s="2" t="s">
        <v>88</v>
      </c>
      <c r="R9" s="11">
        <f>MAX(0,R5-R8)</f>
        <v>0</v>
      </c>
    </row>
    <row r="10">
      <c r="A10" s="12">
        <v>6.0</v>
      </c>
      <c r="B10" s="12">
        <f>IF(AND(A10&gt;=Inputs!$C$9,A10&lt;Inputs!$C$9+Inputs!$C$10),1,0)</f>
        <v>1</v>
      </c>
      <c r="C10" s="13">
        <f>IF(B10=1,Inputs!$C$8,Inputs!$C$5)</f>
        <v>1000</v>
      </c>
      <c r="D10" s="13">
        <f>C10*Inputs!$C$7</f>
        <v>270</v>
      </c>
      <c r="E10" s="13">
        <f>Inputs!$C$6</f>
        <v>6300</v>
      </c>
      <c r="F10" s="13">
        <f t="shared" si="1"/>
        <v>-5570</v>
      </c>
      <c r="G10" s="14">
        <f t="shared" si="2"/>
        <v>-6850</v>
      </c>
      <c r="H10" s="13">
        <f>IF(A10=Inputs!$C$13,Inputs!$C$12,0)</f>
        <v>0</v>
      </c>
      <c r="I10" s="13">
        <f>IF(A10=Inputs!$C$9,$R$8,0)</f>
        <v>0</v>
      </c>
      <c r="J10" s="13">
        <f>I10*Inputs!$C$18</f>
        <v>0</v>
      </c>
      <c r="K10" s="13">
        <f>N9*Inputs!$C$17/52</f>
        <v>23.07692308</v>
      </c>
      <c r="L10" s="13">
        <f>IF(AND(B10=0,A10&gt;Inputs!$C$9),MIN(Inputs!$C$19*C10,N9),0)</f>
        <v>0</v>
      </c>
      <c r="M10" s="14">
        <f t="shared" si="3"/>
        <v>27907.69231</v>
      </c>
      <c r="N10" s="13">
        <f t="shared" si="4"/>
        <v>15000</v>
      </c>
      <c r="O10" s="13">
        <f>Inputs!$C$11</f>
        <v>10000</v>
      </c>
    </row>
    <row r="11">
      <c r="A11" s="12">
        <v>7.0</v>
      </c>
      <c r="B11" s="12">
        <f>IF(AND(A11&gt;=Inputs!$C$9,A11&lt;Inputs!$C$9+Inputs!$C$10),1,0)</f>
        <v>1</v>
      </c>
      <c r="C11" s="13">
        <f>IF(B11=1,Inputs!$C$8,Inputs!$C$5)</f>
        <v>1000</v>
      </c>
      <c r="D11" s="13">
        <f>C11*Inputs!$C$7</f>
        <v>270</v>
      </c>
      <c r="E11" s="13">
        <f>Inputs!$C$6</f>
        <v>6300</v>
      </c>
      <c r="F11" s="13">
        <f t="shared" si="1"/>
        <v>-5570</v>
      </c>
      <c r="G11" s="14">
        <f t="shared" si="2"/>
        <v>-12420</v>
      </c>
      <c r="H11" s="13">
        <f>IF(A11=Inputs!$C$13,Inputs!$C$12,0)</f>
        <v>0</v>
      </c>
      <c r="I11" s="13">
        <f>IF(A11=Inputs!$C$9,$R$8,0)</f>
        <v>0</v>
      </c>
      <c r="J11" s="13">
        <f>I11*Inputs!$C$18</f>
        <v>0</v>
      </c>
      <c r="K11" s="13">
        <f>N10*Inputs!$C$17/52</f>
        <v>23.07692308</v>
      </c>
      <c r="L11" s="13">
        <f>IF(AND(B11=0,A11&gt;Inputs!$C$9),MIN(Inputs!$C$19*C11,N10),0)</f>
        <v>0</v>
      </c>
      <c r="M11" s="14">
        <f t="shared" si="3"/>
        <v>22314.61538</v>
      </c>
      <c r="N11" s="13">
        <f t="shared" si="4"/>
        <v>15000</v>
      </c>
      <c r="O11" s="13">
        <f>Inputs!$C$11</f>
        <v>10000</v>
      </c>
    </row>
    <row r="12">
      <c r="A12" s="12">
        <v>8.0</v>
      </c>
      <c r="B12" s="12">
        <f>IF(AND(A12&gt;=Inputs!$C$9,A12&lt;Inputs!$C$9+Inputs!$C$10),1,0)</f>
        <v>0</v>
      </c>
      <c r="C12" s="13">
        <f>IF(B12=1,Inputs!$C$8,Inputs!$C$5)</f>
        <v>10000</v>
      </c>
      <c r="D12" s="13">
        <f>C12*Inputs!$C$7</f>
        <v>2700</v>
      </c>
      <c r="E12" s="13">
        <f>Inputs!$C$6</f>
        <v>6300</v>
      </c>
      <c r="F12" s="13">
        <f t="shared" si="1"/>
        <v>1000</v>
      </c>
      <c r="G12" s="14">
        <f t="shared" si="2"/>
        <v>-11420</v>
      </c>
      <c r="H12" s="13">
        <f>IF(A12=Inputs!$C$13,Inputs!$C$12,0)</f>
        <v>0</v>
      </c>
      <c r="I12" s="13">
        <f>IF(A12=Inputs!$C$9,$R$8,0)</f>
        <v>0</v>
      </c>
      <c r="J12" s="13">
        <f>I12*Inputs!$C$18</f>
        <v>0</v>
      </c>
      <c r="K12" s="13">
        <f>N11*Inputs!$C$17/52</f>
        <v>23.07692308</v>
      </c>
      <c r="L12" s="13">
        <f>IF(AND(B12=0,A12&gt;Inputs!$C$9),MIN(Inputs!$C$19*C12,N11),0)</f>
        <v>1000</v>
      </c>
      <c r="M12" s="14">
        <f t="shared" si="3"/>
        <v>22291.53846</v>
      </c>
      <c r="N12" s="13">
        <f t="shared" si="4"/>
        <v>14000</v>
      </c>
      <c r="O12" s="13">
        <f>Inputs!$C$11</f>
        <v>10000</v>
      </c>
    </row>
    <row r="13">
      <c r="A13" s="12">
        <v>9.0</v>
      </c>
      <c r="B13" s="12">
        <f>IF(AND(A13&gt;=Inputs!$C$9,A13&lt;Inputs!$C$9+Inputs!$C$10),1,0)</f>
        <v>0</v>
      </c>
      <c r="C13" s="13">
        <f>IF(B13=1,Inputs!$C$8,Inputs!$C$5)</f>
        <v>10000</v>
      </c>
      <c r="D13" s="13">
        <f>C13*Inputs!$C$7</f>
        <v>2700</v>
      </c>
      <c r="E13" s="13">
        <f>Inputs!$C$6</f>
        <v>6300</v>
      </c>
      <c r="F13" s="13">
        <f t="shared" si="1"/>
        <v>1000</v>
      </c>
      <c r="G13" s="14">
        <f t="shared" si="2"/>
        <v>-10420</v>
      </c>
      <c r="H13" s="13">
        <f>IF(A13=Inputs!$C$13,Inputs!$C$12,0)</f>
        <v>0</v>
      </c>
      <c r="I13" s="13">
        <f>IF(A13=Inputs!$C$9,$R$8,0)</f>
        <v>0</v>
      </c>
      <c r="J13" s="13">
        <f>I13*Inputs!$C$18</f>
        <v>0</v>
      </c>
      <c r="K13" s="13">
        <f>N12*Inputs!$C$17/52</f>
        <v>21.53846154</v>
      </c>
      <c r="L13" s="13">
        <f>IF(AND(B13=0,A13&gt;Inputs!$C$9),MIN(Inputs!$C$19*C13,N12),0)</f>
        <v>1000</v>
      </c>
      <c r="M13" s="14">
        <f t="shared" si="3"/>
        <v>22270</v>
      </c>
      <c r="N13" s="13">
        <f t="shared" si="4"/>
        <v>13000</v>
      </c>
      <c r="O13" s="13">
        <f>Inputs!$C$11</f>
        <v>10000</v>
      </c>
    </row>
    <row r="14">
      <c r="A14" s="12">
        <v>10.0</v>
      </c>
      <c r="B14" s="12">
        <f>IF(AND(A14&gt;=Inputs!$C$9,A14&lt;Inputs!$C$9+Inputs!$C$10),1,0)</f>
        <v>0</v>
      </c>
      <c r="C14" s="13">
        <f>IF(B14=1,Inputs!$C$8,Inputs!$C$5)</f>
        <v>10000</v>
      </c>
      <c r="D14" s="13">
        <f>C14*Inputs!$C$7</f>
        <v>2700</v>
      </c>
      <c r="E14" s="13">
        <f>Inputs!$C$6</f>
        <v>6300</v>
      </c>
      <c r="F14" s="13">
        <f t="shared" si="1"/>
        <v>1000</v>
      </c>
      <c r="G14" s="14">
        <f t="shared" si="2"/>
        <v>-9420</v>
      </c>
      <c r="H14" s="13">
        <f>IF(A14=Inputs!$C$13,Inputs!$C$12,0)</f>
        <v>0</v>
      </c>
      <c r="I14" s="13">
        <f>IF(A14=Inputs!$C$9,$R$8,0)</f>
        <v>0</v>
      </c>
      <c r="J14" s="13">
        <f>I14*Inputs!$C$18</f>
        <v>0</v>
      </c>
      <c r="K14" s="13">
        <f>N13*Inputs!$C$17/52</f>
        <v>20</v>
      </c>
      <c r="L14" s="13">
        <f>IF(AND(B14=0,A14&gt;Inputs!$C$9),MIN(Inputs!$C$19*C14,N13),0)</f>
        <v>1000</v>
      </c>
      <c r="M14" s="14">
        <f t="shared" si="3"/>
        <v>22250</v>
      </c>
      <c r="N14" s="13">
        <f t="shared" si="4"/>
        <v>12000</v>
      </c>
      <c r="O14" s="13">
        <f>Inputs!$C$11</f>
        <v>10000</v>
      </c>
    </row>
    <row r="15">
      <c r="A15" s="12">
        <v>11.0</v>
      </c>
      <c r="B15" s="12">
        <f>IF(AND(A15&gt;=Inputs!$C$9,A15&lt;Inputs!$C$9+Inputs!$C$10),1,0)</f>
        <v>0</v>
      </c>
      <c r="C15" s="13">
        <f>IF(B15=1,Inputs!$C$8,Inputs!$C$5)</f>
        <v>10000</v>
      </c>
      <c r="D15" s="13">
        <f>C15*Inputs!$C$7</f>
        <v>2700</v>
      </c>
      <c r="E15" s="13">
        <f>Inputs!$C$6</f>
        <v>6300</v>
      </c>
      <c r="F15" s="13">
        <f t="shared" si="1"/>
        <v>1000</v>
      </c>
      <c r="G15" s="14">
        <f t="shared" si="2"/>
        <v>-8420</v>
      </c>
      <c r="H15" s="13">
        <f>IF(A15=Inputs!$C$13,Inputs!$C$12,0)</f>
        <v>0</v>
      </c>
      <c r="I15" s="13">
        <f>IF(A15=Inputs!$C$9,$R$8,0)</f>
        <v>0</v>
      </c>
      <c r="J15" s="13">
        <f>I15*Inputs!$C$18</f>
        <v>0</v>
      </c>
      <c r="K15" s="13">
        <f>N14*Inputs!$C$17/52</f>
        <v>18.46153846</v>
      </c>
      <c r="L15" s="13">
        <f>IF(AND(B15=0,A15&gt;Inputs!$C$9),MIN(Inputs!$C$19*C15,N14),0)</f>
        <v>1000</v>
      </c>
      <c r="M15" s="14">
        <f t="shared" si="3"/>
        <v>22231.53846</v>
      </c>
      <c r="N15" s="13">
        <f t="shared" si="4"/>
        <v>11000</v>
      </c>
      <c r="O15" s="13">
        <f>Inputs!$C$11</f>
        <v>10000</v>
      </c>
    </row>
    <row r="16">
      <c r="A16" s="12">
        <v>12.0</v>
      </c>
      <c r="B16" s="12">
        <f>IF(AND(A16&gt;=Inputs!$C$9,A16&lt;Inputs!$C$9+Inputs!$C$10),1,0)</f>
        <v>0</v>
      </c>
      <c r="C16" s="13">
        <f>IF(B16=1,Inputs!$C$8,Inputs!$C$5)</f>
        <v>10000</v>
      </c>
      <c r="D16" s="13">
        <f>C16*Inputs!$C$7</f>
        <v>2700</v>
      </c>
      <c r="E16" s="13">
        <f>Inputs!$C$6</f>
        <v>6300</v>
      </c>
      <c r="F16" s="13">
        <f t="shared" si="1"/>
        <v>1000</v>
      </c>
      <c r="G16" s="14">
        <f t="shared" si="2"/>
        <v>-7420</v>
      </c>
      <c r="H16" s="13">
        <f>IF(A16=Inputs!$C$13,Inputs!$C$12,0)</f>
        <v>0</v>
      </c>
      <c r="I16" s="13">
        <f>IF(A16=Inputs!$C$9,$R$8,0)</f>
        <v>0</v>
      </c>
      <c r="J16" s="13">
        <f>I16*Inputs!$C$18</f>
        <v>0</v>
      </c>
      <c r="K16" s="13">
        <f>N15*Inputs!$C$17/52</f>
        <v>16.92307692</v>
      </c>
      <c r="L16" s="13">
        <f>IF(AND(B16=0,A16&gt;Inputs!$C$9),MIN(Inputs!$C$19*C16,N15),0)</f>
        <v>1000</v>
      </c>
      <c r="M16" s="14">
        <f t="shared" si="3"/>
        <v>22214.61538</v>
      </c>
      <c r="N16" s="13">
        <f t="shared" si="4"/>
        <v>10000</v>
      </c>
      <c r="O16" s="13">
        <f>Inputs!$C$11</f>
        <v>10000</v>
      </c>
    </row>
    <row r="17">
      <c r="A17" s="12">
        <v>13.0</v>
      </c>
      <c r="B17" s="12">
        <f>IF(AND(A17&gt;=Inputs!$C$9,A17&lt;Inputs!$C$9+Inputs!$C$10),1,0)</f>
        <v>0</v>
      </c>
      <c r="C17" s="13">
        <f>IF(B17=1,Inputs!$C$8,Inputs!$C$5)</f>
        <v>10000</v>
      </c>
      <c r="D17" s="13">
        <f>C17*Inputs!$C$7</f>
        <v>2700</v>
      </c>
      <c r="E17" s="13">
        <f>Inputs!$C$6</f>
        <v>6300</v>
      </c>
      <c r="F17" s="13">
        <f t="shared" si="1"/>
        <v>1000</v>
      </c>
      <c r="G17" s="14">
        <f t="shared" si="2"/>
        <v>-6420</v>
      </c>
      <c r="H17" s="13">
        <f>IF(A17=Inputs!$C$13,Inputs!$C$12,0)</f>
        <v>0</v>
      </c>
      <c r="I17" s="13">
        <f>IF(A17=Inputs!$C$9,$R$8,0)</f>
        <v>0</v>
      </c>
      <c r="J17" s="13">
        <f>I17*Inputs!$C$18</f>
        <v>0</v>
      </c>
      <c r="K17" s="13">
        <f>N16*Inputs!$C$17/52</f>
        <v>15.38461538</v>
      </c>
      <c r="L17" s="13">
        <f>IF(AND(B17=0,A17&gt;Inputs!$C$9),MIN(Inputs!$C$19*C17,N16),0)</f>
        <v>1000</v>
      </c>
      <c r="M17" s="14">
        <f t="shared" si="3"/>
        <v>22199.23077</v>
      </c>
      <c r="N17" s="13">
        <f t="shared" si="4"/>
        <v>9000</v>
      </c>
      <c r="O17" s="13">
        <f>Inputs!$C$11</f>
        <v>10000</v>
      </c>
    </row>
    <row r="19">
      <c r="A19" s="2" t="s">
        <v>104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